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hidePivotFieldList="1"/>
  <mc:AlternateContent xmlns:mc="http://schemas.openxmlformats.org/markup-compatibility/2006">
    <mc:Choice Requires="x15">
      <x15ac:absPath xmlns:x15ac="http://schemas.microsoft.com/office/spreadsheetml/2010/11/ac" url="/Users/kelseyhowell/Downloads/"/>
    </mc:Choice>
  </mc:AlternateContent>
  <xr:revisionPtr revIDLastSave="0" documentId="8_{7185B902-683E-B74D-AF90-BD64DCC70E80}" xr6:coauthVersionLast="47" xr6:coauthVersionMax="47" xr10:uidLastSave="{00000000-0000-0000-0000-000000000000}"/>
  <bookViews>
    <workbookView xWindow="17360" yWindow="760" windowWidth="17200" windowHeight="20100" xr2:uid="{00000000-000D-0000-FFFF-FFFF00000000}"/>
  </bookViews>
  <sheets>
    <sheet name="Start Here" sheetId="1" r:id="rId1"/>
    <sheet name="Executive Dashboard" sheetId="13" r:id="rId2"/>
    <sheet name="Project Health" sheetId="10" r:id="rId3"/>
    <sheet name="Raw Project Data" sheetId="2" r:id="rId4"/>
    <sheet name="PM Task Workload" sheetId="3" r:id="rId5"/>
    <sheet name="Project Delays" sheetId="5" r:id="rId6"/>
    <sheet name="PM Portfolio Summary" sheetId="6" r:id="rId7"/>
    <sheet name="Department Risk Analysis" sheetId="7" r:id="rId8"/>
    <sheet name="Project Issues &amp; Delays" sheetId="8" r:id="rId9"/>
    <sheet name="Schedule &amp; Budget Performance" sheetId="9" r:id="rId10"/>
    <sheet name="Department Budget Analysis" sheetId="11" r:id="rId11"/>
    <sheet name="Department Performance Summary" sheetId="12" r:id="rId12"/>
    <sheet name="PM Workload Backup" sheetId="4" r:id="rId13"/>
  </sheets>
  <calcPr calcId="191029"/>
  <pivotCaches>
    <pivotCache cacheId="68" r:id="rId1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4" i="13" l="1"/>
  <c r="O3" i="13"/>
  <c r="J5" i="13"/>
  <c r="G5" i="13"/>
  <c r="D5" i="13"/>
  <c r="A5" i="13"/>
  <c r="L3" i="10"/>
  <c r="L4" i="10"/>
  <c r="L5" i="10"/>
  <c r="L6" i="10"/>
  <c r="L7" i="10"/>
  <c r="L2" i="10"/>
  <c r="I3" i="10"/>
  <c r="I4" i="10"/>
  <c r="I5" i="10"/>
  <c r="I6" i="10"/>
  <c r="I7" i="10"/>
  <c r="I8" i="10"/>
  <c r="I9" i="10"/>
  <c r="I10" i="10"/>
  <c r="I11" i="10"/>
  <c r="I12" i="10"/>
  <c r="I13" i="10"/>
  <c r="I14" i="10"/>
  <c r="I15" i="10"/>
  <c r="I16" i="10"/>
  <c r="I17" i="10"/>
  <c r="I18" i="10"/>
  <c r="I19" i="10"/>
  <c r="I20" i="10"/>
  <c r="I21" i="10"/>
  <c r="I22" i="10"/>
  <c r="I23" i="10"/>
  <c r="I24" i="10"/>
  <c r="I25" i="10"/>
  <c r="I26" i="10"/>
  <c r="I27" i="10"/>
  <c r="I28" i="10"/>
  <c r="I29" i="10"/>
  <c r="I30" i="10"/>
  <c r="I31" i="10"/>
  <c r="I2" i="10"/>
  <c r="E3" i="10"/>
  <c r="E4" i="10"/>
  <c r="E5" i="10"/>
  <c r="E6" i="10"/>
  <c r="E7" i="10"/>
  <c r="E8" i="10"/>
  <c r="E9" i="10"/>
  <c r="E10" i="10"/>
  <c r="E11" i="10"/>
  <c r="E12" i="10"/>
  <c r="E13" i="10"/>
  <c r="E14" i="10"/>
  <c r="E15" i="10"/>
  <c r="E16" i="10"/>
  <c r="E17" i="10"/>
  <c r="E18" i="10"/>
  <c r="E19" i="10"/>
  <c r="E20" i="10"/>
  <c r="E21" i="10"/>
  <c r="E22" i="10"/>
  <c r="E23" i="10"/>
  <c r="E24" i="10"/>
  <c r="E25" i="10"/>
  <c r="E26" i="10"/>
  <c r="E27" i="10"/>
  <c r="E28" i="10"/>
  <c r="E29" i="10"/>
  <c r="E30" i="10"/>
  <c r="E31" i="10"/>
  <c r="E2" i="10"/>
  <c r="D3" i="10"/>
  <c r="D4" i="10"/>
  <c r="D5" i="10"/>
  <c r="D6" i="10"/>
  <c r="D7" i="10"/>
  <c r="D8" i="10"/>
  <c r="D9" i="10"/>
  <c r="D10" i="10"/>
  <c r="D11" i="10"/>
  <c r="D12" i="10"/>
  <c r="D13" i="10"/>
  <c r="D14" i="10"/>
  <c r="D15" i="10"/>
  <c r="D16" i="10"/>
  <c r="D17" i="10"/>
  <c r="D18" i="10"/>
  <c r="D19" i="10"/>
  <c r="D20" i="10"/>
  <c r="D21" i="10"/>
  <c r="D22" i="10"/>
  <c r="D23" i="10"/>
  <c r="D24" i="10"/>
  <c r="D25" i="10"/>
  <c r="D26" i="10"/>
  <c r="D27" i="10"/>
  <c r="D28" i="10"/>
  <c r="D29" i="10"/>
  <c r="D30" i="10"/>
  <c r="D31" i="10"/>
  <c r="D2" i="10"/>
  <c r="C3" i="10"/>
  <c r="C4" i="10"/>
  <c r="C5" i="10"/>
  <c r="C6" i="10"/>
  <c r="C7" i="10"/>
  <c r="C8" i="10"/>
  <c r="C9" i="10"/>
  <c r="C10" i="10"/>
  <c r="C11" i="10"/>
  <c r="C12" i="10"/>
  <c r="C13" i="10"/>
  <c r="C14" i="10"/>
  <c r="C15" i="10"/>
  <c r="C16" i="10"/>
  <c r="C17" i="10"/>
  <c r="C18" i="10"/>
  <c r="C19" i="10"/>
  <c r="C20" i="10"/>
  <c r="C21" i="10"/>
  <c r="C22" i="10"/>
  <c r="C23" i="10"/>
  <c r="C24" i="10"/>
  <c r="C25" i="10"/>
  <c r="C26" i="10"/>
  <c r="C27" i="10"/>
  <c r="C28" i="10"/>
  <c r="C29" i="10"/>
  <c r="C30" i="10"/>
  <c r="C31" i="10"/>
  <c r="C2" i="10"/>
  <c r="B3" i="10"/>
  <c r="B4" i="10"/>
  <c r="B5" i="10"/>
  <c r="B6" i="10"/>
  <c r="B7" i="10"/>
  <c r="B8" i="10"/>
  <c r="B9" i="10"/>
  <c r="B10" i="10"/>
  <c r="B11" i="10"/>
  <c r="B12" i="10"/>
  <c r="B13" i="10"/>
  <c r="B14" i="10"/>
  <c r="B15" i="10"/>
  <c r="B16" i="10"/>
  <c r="B17" i="10"/>
  <c r="B18" i="10"/>
  <c r="B19" i="10"/>
  <c r="B20" i="10"/>
  <c r="B21" i="10"/>
  <c r="B22" i="10"/>
  <c r="B23" i="10"/>
  <c r="B24" i="10"/>
  <c r="B25" i="10"/>
  <c r="B26" i="10"/>
  <c r="B27" i="10"/>
  <c r="B28" i="10"/>
  <c r="B29" i="10"/>
  <c r="B30" i="10"/>
  <c r="B31" i="10"/>
  <c r="B2" i="10"/>
  <c r="V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U2" i="2"/>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T751" i="2"/>
  <c r="T750" i="2"/>
  <c r="T749" i="2"/>
  <c r="T748" i="2"/>
  <c r="T747" i="2"/>
  <c r="T746" i="2"/>
  <c r="T745" i="2"/>
  <c r="T744" i="2"/>
  <c r="T743" i="2"/>
  <c r="T742" i="2"/>
  <c r="T741" i="2"/>
  <c r="T740" i="2"/>
  <c r="T739" i="2"/>
  <c r="T738" i="2"/>
  <c r="T737" i="2"/>
  <c r="T736" i="2"/>
  <c r="T735" i="2"/>
  <c r="T734" i="2"/>
  <c r="T733" i="2"/>
  <c r="T732" i="2"/>
  <c r="T731" i="2"/>
  <c r="T730" i="2"/>
  <c r="T729" i="2"/>
  <c r="T728" i="2"/>
  <c r="T727" i="2"/>
  <c r="T726" i="2"/>
  <c r="T725" i="2"/>
  <c r="T724" i="2"/>
  <c r="T723" i="2"/>
  <c r="T722" i="2"/>
  <c r="T721" i="2"/>
  <c r="T720" i="2"/>
  <c r="T719" i="2"/>
  <c r="T718" i="2"/>
  <c r="T717" i="2"/>
  <c r="T716" i="2"/>
  <c r="T715" i="2"/>
  <c r="T714" i="2"/>
  <c r="T713" i="2"/>
  <c r="T712" i="2"/>
  <c r="T711" i="2"/>
  <c r="T710" i="2"/>
  <c r="T709" i="2"/>
  <c r="T708" i="2"/>
  <c r="T707" i="2"/>
  <c r="T706" i="2"/>
  <c r="T705" i="2"/>
  <c r="T704" i="2"/>
  <c r="T703" i="2"/>
  <c r="T702" i="2"/>
  <c r="T701" i="2"/>
  <c r="T700" i="2"/>
  <c r="T699" i="2"/>
  <c r="T698" i="2"/>
  <c r="T697" i="2"/>
  <c r="T696" i="2"/>
  <c r="T695" i="2"/>
  <c r="T694" i="2"/>
  <c r="T693" i="2"/>
  <c r="T692" i="2"/>
  <c r="T691" i="2"/>
  <c r="T690" i="2"/>
  <c r="T689" i="2"/>
  <c r="T688" i="2"/>
  <c r="T687" i="2"/>
  <c r="T686" i="2"/>
  <c r="T685" i="2"/>
  <c r="T684" i="2"/>
  <c r="T683" i="2"/>
  <c r="T682" i="2"/>
  <c r="T681" i="2"/>
  <c r="T680" i="2"/>
  <c r="T679" i="2"/>
  <c r="T678" i="2"/>
  <c r="T677" i="2"/>
  <c r="T676" i="2"/>
  <c r="T675" i="2"/>
  <c r="T674" i="2"/>
  <c r="T673" i="2"/>
  <c r="T672" i="2"/>
  <c r="T671" i="2"/>
  <c r="T670" i="2"/>
  <c r="T669" i="2"/>
  <c r="T668" i="2"/>
  <c r="T667" i="2"/>
  <c r="T666" i="2"/>
  <c r="T665" i="2"/>
  <c r="T664" i="2"/>
  <c r="T663" i="2"/>
  <c r="T662" i="2"/>
  <c r="T661" i="2"/>
  <c r="T660" i="2"/>
  <c r="T659" i="2"/>
  <c r="T658" i="2"/>
  <c r="T657" i="2"/>
  <c r="T656" i="2"/>
  <c r="T655" i="2"/>
  <c r="T654" i="2"/>
  <c r="T653" i="2"/>
  <c r="T652" i="2"/>
  <c r="T651" i="2"/>
  <c r="T650" i="2"/>
  <c r="T649" i="2"/>
  <c r="T648" i="2"/>
  <c r="T647" i="2"/>
  <c r="T646" i="2"/>
  <c r="T645" i="2"/>
  <c r="T644" i="2"/>
  <c r="T643" i="2"/>
  <c r="T642" i="2"/>
  <c r="T641" i="2"/>
  <c r="T640" i="2"/>
  <c r="T639" i="2"/>
  <c r="T638" i="2"/>
  <c r="T637" i="2"/>
  <c r="T636" i="2"/>
  <c r="T635" i="2"/>
  <c r="T634" i="2"/>
  <c r="T633" i="2"/>
  <c r="T632" i="2"/>
  <c r="T631" i="2"/>
  <c r="T630" i="2"/>
  <c r="T629" i="2"/>
  <c r="T628" i="2"/>
  <c r="T627" i="2"/>
  <c r="T626" i="2"/>
  <c r="T625" i="2"/>
  <c r="T624" i="2"/>
  <c r="T623" i="2"/>
  <c r="T622" i="2"/>
  <c r="T621" i="2"/>
  <c r="T620" i="2"/>
  <c r="T619" i="2"/>
  <c r="T618" i="2"/>
  <c r="T617" i="2"/>
  <c r="T616" i="2"/>
  <c r="T615" i="2"/>
  <c r="T614" i="2"/>
  <c r="T613" i="2"/>
  <c r="T612" i="2"/>
  <c r="T611" i="2"/>
  <c r="T610" i="2"/>
  <c r="T609" i="2"/>
  <c r="T608" i="2"/>
  <c r="T607" i="2"/>
  <c r="T606" i="2"/>
  <c r="T605" i="2"/>
  <c r="T604" i="2"/>
  <c r="T603" i="2"/>
  <c r="T602" i="2"/>
  <c r="T601" i="2"/>
  <c r="T600" i="2"/>
  <c r="T599" i="2"/>
  <c r="T598" i="2"/>
  <c r="T597" i="2"/>
  <c r="T596" i="2"/>
  <c r="T595" i="2"/>
  <c r="T594" i="2"/>
  <c r="T593" i="2"/>
  <c r="T592" i="2"/>
  <c r="T591" i="2"/>
  <c r="T590" i="2"/>
  <c r="T589" i="2"/>
  <c r="T588" i="2"/>
  <c r="T587" i="2"/>
  <c r="T586" i="2"/>
  <c r="T585" i="2"/>
  <c r="T584" i="2"/>
  <c r="T583" i="2"/>
  <c r="T582" i="2"/>
  <c r="T581" i="2"/>
  <c r="T580" i="2"/>
  <c r="T579" i="2"/>
  <c r="T578" i="2"/>
  <c r="T577" i="2"/>
  <c r="T576" i="2"/>
  <c r="T575" i="2"/>
  <c r="T574" i="2"/>
  <c r="T573" i="2"/>
  <c r="T572" i="2"/>
  <c r="T571" i="2"/>
  <c r="T570" i="2"/>
  <c r="T569" i="2"/>
  <c r="T568" i="2"/>
  <c r="T567" i="2"/>
  <c r="T566" i="2"/>
  <c r="T565" i="2"/>
  <c r="T564" i="2"/>
  <c r="T563" i="2"/>
  <c r="T562" i="2"/>
  <c r="T561" i="2"/>
  <c r="T560" i="2"/>
  <c r="T559" i="2"/>
  <c r="T558" i="2"/>
  <c r="T557" i="2"/>
  <c r="T556" i="2"/>
  <c r="T555" i="2"/>
  <c r="T554" i="2"/>
  <c r="T553" i="2"/>
  <c r="T552" i="2"/>
  <c r="T551" i="2"/>
  <c r="T550" i="2"/>
  <c r="T549" i="2"/>
  <c r="T548" i="2"/>
  <c r="T547" i="2"/>
  <c r="T546" i="2"/>
  <c r="T545" i="2"/>
  <c r="T544" i="2"/>
  <c r="T543" i="2"/>
  <c r="T542" i="2"/>
  <c r="T541" i="2"/>
  <c r="T540" i="2"/>
  <c r="T539" i="2"/>
  <c r="T538" i="2"/>
  <c r="T537" i="2"/>
  <c r="T536" i="2"/>
  <c r="T535" i="2"/>
  <c r="T534" i="2"/>
  <c r="T533" i="2"/>
  <c r="T532" i="2"/>
  <c r="T531" i="2"/>
  <c r="T530" i="2"/>
  <c r="T529" i="2"/>
  <c r="T528" i="2"/>
  <c r="T527" i="2"/>
  <c r="T526" i="2"/>
  <c r="T525" i="2"/>
  <c r="T524" i="2"/>
  <c r="T523" i="2"/>
  <c r="T522" i="2"/>
  <c r="T521" i="2"/>
  <c r="T520" i="2"/>
  <c r="T519" i="2"/>
  <c r="T518" i="2"/>
  <c r="T517" i="2"/>
  <c r="T516" i="2"/>
  <c r="T515" i="2"/>
  <c r="T514" i="2"/>
  <c r="T513" i="2"/>
  <c r="T512" i="2"/>
  <c r="T511" i="2"/>
  <c r="T510" i="2"/>
  <c r="T509" i="2"/>
  <c r="T508" i="2"/>
  <c r="T507" i="2"/>
  <c r="T506" i="2"/>
  <c r="T505" i="2"/>
  <c r="T504" i="2"/>
  <c r="T503" i="2"/>
  <c r="T502" i="2"/>
  <c r="T501" i="2"/>
  <c r="T500" i="2"/>
  <c r="T499" i="2"/>
  <c r="T498" i="2"/>
  <c r="T497" i="2"/>
  <c r="T496" i="2"/>
  <c r="T495" i="2"/>
  <c r="T494" i="2"/>
  <c r="T493" i="2"/>
  <c r="T492" i="2"/>
  <c r="T491" i="2"/>
  <c r="T490" i="2"/>
  <c r="T489" i="2"/>
  <c r="T488" i="2"/>
  <c r="T487" i="2"/>
  <c r="T486" i="2"/>
  <c r="T485" i="2"/>
  <c r="T484" i="2"/>
  <c r="T483" i="2"/>
  <c r="T482" i="2"/>
  <c r="T481" i="2"/>
  <c r="T480" i="2"/>
  <c r="T479" i="2"/>
  <c r="T478" i="2"/>
  <c r="T477" i="2"/>
  <c r="T476" i="2"/>
  <c r="T475" i="2"/>
  <c r="T474" i="2"/>
  <c r="T473" i="2"/>
  <c r="T472" i="2"/>
  <c r="T471" i="2"/>
  <c r="T470" i="2"/>
  <c r="T469" i="2"/>
  <c r="T468" i="2"/>
  <c r="T467" i="2"/>
  <c r="T466" i="2"/>
  <c r="T465" i="2"/>
  <c r="T464" i="2"/>
  <c r="T463" i="2"/>
  <c r="T462" i="2"/>
  <c r="T461" i="2"/>
  <c r="T460" i="2"/>
  <c r="T459" i="2"/>
  <c r="T458" i="2"/>
  <c r="T457" i="2"/>
  <c r="T456" i="2"/>
  <c r="T455" i="2"/>
  <c r="T454" i="2"/>
  <c r="T453" i="2"/>
  <c r="T452" i="2"/>
  <c r="T451" i="2"/>
  <c r="T450" i="2"/>
  <c r="T449" i="2"/>
  <c r="T448" i="2"/>
  <c r="T447" i="2"/>
  <c r="T446" i="2"/>
  <c r="T445" i="2"/>
  <c r="T444" i="2"/>
  <c r="T443" i="2"/>
  <c r="T442" i="2"/>
  <c r="T441" i="2"/>
  <c r="T440" i="2"/>
  <c r="T439" i="2"/>
  <c r="T438" i="2"/>
  <c r="T437" i="2"/>
  <c r="T436" i="2"/>
  <c r="T435" i="2"/>
  <c r="T434" i="2"/>
  <c r="T433" i="2"/>
  <c r="T432" i="2"/>
  <c r="T431" i="2"/>
  <c r="T430" i="2"/>
  <c r="T429" i="2"/>
  <c r="T428" i="2"/>
  <c r="T427" i="2"/>
  <c r="T426" i="2"/>
  <c r="T425" i="2"/>
  <c r="T424" i="2"/>
  <c r="T423" i="2"/>
  <c r="T422" i="2"/>
  <c r="T421" i="2"/>
  <c r="T420" i="2"/>
  <c r="T419" i="2"/>
  <c r="T418" i="2"/>
  <c r="T417" i="2"/>
  <c r="T416" i="2"/>
  <c r="T415" i="2"/>
  <c r="T414" i="2"/>
  <c r="T413" i="2"/>
  <c r="T412" i="2"/>
  <c r="T411" i="2"/>
  <c r="T410" i="2"/>
  <c r="T409" i="2"/>
  <c r="T408" i="2"/>
  <c r="T407" i="2"/>
  <c r="T406" i="2"/>
  <c r="T405" i="2"/>
  <c r="T404" i="2"/>
  <c r="T403" i="2"/>
  <c r="T402" i="2"/>
  <c r="T401" i="2"/>
  <c r="T400" i="2"/>
  <c r="T399" i="2"/>
  <c r="T398" i="2"/>
  <c r="T397" i="2"/>
  <c r="T396" i="2"/>
  <c r="T395" i="2"/>
  <c r="T394" i="2"/>
  <c r="T393" i="2"/>
  <c r="T392" i="2"/>
  <c r="T391" i="2"/>
  <c r="T390" i="2"/>
  <c r="T389" i="2"/>
  <c r="T388" i="2"/>
  <c r="T387" i="2"/>
  <c r="T386" i="2"/>
  <c r="T385" i="2"/>
  <c r="T384" i="2"/>
  <c r="T383" i="2"/>
  <c r="T382" i="2"/>
  <c r="T381" i="2"/>
  <c r="T380" i="2"/>
  <c r="T379" i="2"/>
  <c r="T378" i="2"/>
  <c r="T377" i="2"/>
  <c r="T376" i="2"/>
  <c r="T375" i="2"/>
  <c r="T374" i="2"/>
  <c r="T373" i="2"/>
  <c r="T372" i="2"/>
  <c r="T371" i="2"/>
  <c r="T370" i="2"/>
  <c r="T369" i="2"/>
  <c r="T368" i="2"/>
  <c r="T367" i="2"/>
  <c r="T366" i="2"/>
  <c r="T365" i="2"/>
  <c r="T364" i="2"/>
  <c r="T363" i="2"/>
  <c r="T362" i="2"/>
  <c r="T361" i="2"/>
  <c r="T360" i="2"/>
  <c r="T359" i="2"/>
  <c r="T358" i="2"/>
  <c r="T357" i="2"/>
  <c r="T356" i="2"/>
  <c r="T355" i="2"/>
  <c r="T354" i="2"/>
  <c r="T353" i="2"/>
  <c r="T352" i="2"/>
  <c r="T351" i="2"/>
  <c r="T350" i="2"/>
  <c r="T349" i="2"/>
  <c r="T348" i="2"/>
  <c r="T347" i="2"/>
  <c r="T346" i="2"/>
  <c r="T345" i="2"/>
  <c r="T344" i="2"/>
  <c r="T343" i="2"/>
  <c r="T342" i="2"/>
  <c r="T341" i="2"/>
  <c r="T340" i="2"/>
  <c r="T339" i="2"/>
  <c r="T338" i="2"/>
  <c r="T337" i="2"/>
  <c r="T336" i="2"/>
  <c r="T335" i="2"/>
  <c r="T334" i="2"/>
  <c r="T333" i="2"/>
  <c r="T332" i="2"/>
  <c r="T331" i="2"/>
  <c r="T330" i="2"/>
  <c r="T329" i="2"/>
  <c r="T328" i="2"/>
  <c r="T327" i="2"/>
  <c r="T326" i="2"/>
  <c r="T325" i="2"/>
  <c r="T324" i="2"/>
  <c r="T323" i="2"/>
  <c r="T322" i="2"/>
  <c r="T321" i="2"/>
  <c r="T320" i="2"/>
  <c r="T319" i="2"/>
  <c r="T318" i="2"/>
  <c r="T317" i="2"/>
  <c r="T316" i="2"/>
  <c r="T315" i="2"/>
  <c r="T314" i="2"/>
  <c r="T313" i="2"/>
  <c r="T312" i="2"/>
  <c r="T311" i="2"/>
  <c r="T310" i="2"/>
  <c r="T309" i="2"/>
  <c r="T308" i="2"/>
  <c r="T307" i="2"/>
  <c r="T306" i="2"/>
  <c r="T305" i="2"/>
  <c r="T304" i="2"/>
  <c r="T303" i="2"/>
  <c r="T302" i="2"/>
  <c r="T301" i="2"/>
  <c r="T300" i="2"/>
  <c r="T299" i="2"/>
  <c r="T298" i="2"/>
  <c r="T297" i="2"/>
  <c r="T296" i="2"/>
  <c r="T295" i="2"/>
  <c r="T294" i="2"/>
  <c r="T293" i="2"/>
  <c r="T292" i="2"/>
  <c r="T291" i="2"/>
  <c r="T290" i="2"/>
  <c r="T289" i="2"/>
  <c r="T288" i="2"/>
  <c r="T287" i="2"/>
  <c r="T286" i="2"/>
  <c r="T285" i="2"/>
  <c r="T284" i="2"/>
  <c r="T283" i="2"/>
  <c r="T282" i="2"/>
  <c r="T281" i="2"/>
  <c r="T280" i="2"/>
  <c r="T279" i="2"/>
  <c r="T278" i="2"/>
  <c r="T277" i="2"/>
  <c r="T276" i="2"/>
  <c r="T275" i="2"/>
  <c r="T274" i="2"/>
  <c r="T273" i="2"/>
  <c r="T272" i="2"/>
  <c r="T271" i="2"/>
  <c r="T270" i="2"/>
  <c r="T269" i="2"/>
  <c r="T268" i="2"/>
  <c r="T267" i="2"/>
  <c r="T266" i="2"/>
  <c r="T265" i="2"/>
  <c r="T264" i="2"/>
  <c r="T263" i="2"/>
  <c r="T262" i="2"/>
  <c r="T261" i="2"/>
  <c r="T260" i="2"/>
  <c r="T259" i="2"/>
  <c r="T258" i="2"/>
  <c r="T257" i="2"/>
  <c r="T256" i="2"/>
  <c r="T255" i="2"/>
  <c r="T254" i="2"/>
  <c r="T253" i="2"/>
  <c r="T252" i="2"/>
  <c r="T251" i="2"/>
  <c r="T250" i="2"/>
  <c r="T249" i="2"/>
  <c r="T248" i="2"/>
  <c r="T247" i="2"/>
  <c r="T246" i="2"/>
  <c r="T245" i="2"/>
  <c r="T244" i="2"/>
  <c r="T243" i="2"/>
  <c r="T242" i="2"/>
  <c r="T241" i="2"/>
  <c r="T240" i="2"/>
  <c r="T239" i="2"/>
  <c r="T238" i="2"/>
  <c r="T237" i="2"/>
  <c r="T236" i="2"/>
  <c r="T235" i="2"/>
  <c r="T234" i="2"/>
  <c r="T233" i="2"/>
  <c r="T232" i="2"/>
  <c r="T231" i="2"/>
  <c r="T230" i="2"/>
  <c r="T229" i="2"/>
  <c r="T228" i="2"/>
  <c r="T227" i="2"/>
  <c r="T226" i="2"/>
  <c r="T225" i="2"/>
  <c r="T224" i="2"/>
  <c r="T223" i="2"/>
  <c r="T222" i="2"/>
  <c r="T221" i="2"/>
  <c r="T220" i="2"/>
  <c r="T219" i="2"/>
  <c r="T218" i="2"/>
  <c r="T217" i="2"/>
  <c r="T216" i="2"/>
  <c r="T215" i="2"/>
  <c r="T214" i="2"/>
  <c r="T213" i="2"/>
  <c r="T212" i="2"/>
  <c r="T211" i="2"/>
  <c r="T210" i="2"/>
  <c r="T209" i="2"/>
  <c r="T208" i="2"/>
  <c r="T207" i="2"/>
  <c r="T206" i="2"/>
  <c r="T205" i="2"/>
  <c r="T204" i="2"/>
  <c r="T203" i="2"/>
  <c r="T202" i="2"/>
  <c r="T201" i="2"/>
  <c r="T200" i="2"/>
  <c r="T199" i="2"/>
  <c r="T198" i="2"/>
  <c r="T197" i="2"/>
  <c r="T196" i="2"/>
  <c r="T195" i="2"/>
  <c r="T194" i="2"/>
  <c r="T193" i="2"/>
  <c r="T192" i="2"/>
  <c r="T191" i="2"/>
  <c r="T190" i="2"/>
  <c r="T189" i="2"/>
  <c r="T188" i="2"/>
  <c r="T187" i="2"/>
  <c r="T186" i="2"/>
  <c r="T185" i="2"/>
  <c r="T184" i="2"/>
  <c r="T183" i="2"/>
  <c r="T182" i="2"/>
  <c r="T181" i="2"/>
  <c r="T180" i="2"/>
  <c r="T179" i="2"/>
  <c r="T178" i="2"/>
  <c r="T177" i="2"/>
  <c r="T176" i="2"/>
  <c r="T175" i="2"/>
  <c r="T174" i="2"/>
  <c r="T173" i="2"/>
  <c r="T172" i="2"/>
  <c r="T171" i="2"/>
  <c r="T170" i="2"/>
  <c r="T169" i="2"/>
  <c r="T168" i="2"/>
  <c r="T167" i="2"/>
  <c r="T166" i="2"/>
  <c r="T165" i="2"/>
  <c r="T164" i="2"/>
  <c r="T163" i="2"/>
  <c r="T162" i="2"/>
  <c r="T161" i="2"/>
  <c r="T160" i="2"/>
  <c r="T159" i="2"/>
  <c r="T158" i="2"/>
  <c r="T157" i="2"/>
  <c r="T156" i="2"/>
  <c r="T155" i="2"/>
  <c r="T154" i="2"/>
  <c r="T153" i="2"/>
  <c r="T152" i="2"/>
  <c r="T151" i="2"/>
  <c r="T150" i="2"/>
  <c r="T149" i="2"/>
  <c r="T148" i="2"/>
  <c r="T147" i="2"/>
  <c r="T146" i="2"/>
  <c r="T145" i="2"/>
  <c r="T144" i="2"/>
  <c r="T143" i="2"/>
  <c r="T142" i="2"/>
  <c r="T141" i="2"/>
  <c r="T140" i="2"/>
  <c r="T139" i="2"/>
  <c r="T138" i="2"/>
  <c r="T137" i="2"/>
  <c r="T136" i="2"/>
  <c r="T135" i="2"/>
  <c r="T134" i="2"/>
  <c r="T133" i="2"/>
  <c r="T132" i="2"/>
  <c r="T131" i="2"/>
  <c r="T130" i="2"/>
  <c r="T129" i="2"/>
  <c r="T128" i="2"/>
  <c r="T127" i="2"/>
  <c r="T126" i="2"/>
  <c r="T125" i="2"/>
  <c r="T124" i="2"/>
  <c r="T123" i="2"/>
  <c r="T122" i="2"/>
  <c r="T121" i="2"/>
  <c r="T120" i="2"/>
  <c r="T119" i="2"/>
  <c r="T118" i="2"/>
  <c r="T117" i="2"/>
  <c r="T116" i="2"/>
  <c r="T115" i="2"/>
  <c r="T114" i="2"/>
  <c r="T113" i="2"/>
  <c r="T112" i="2"/>
  <c r="T111" i="2"/>
  <c r="T110" i="2"/>
  <c r="T109" i="2"/>
  <c r="T108" i="2"/>
  <c r="T107" i="2"/>
  <c r="T106" i="2"/>
  <c r="T105" i="2"/>
  <c r="T104" i="2"/>
  <c r="T103" i="2"/>
  <c r="T102" i="2"/>
  <c r="T101" i="2"/>
  <c r="T100" i="2"/>
  <c r="T99" i="2"/>
  <c r="T98" i="2"/>
  <c r="T97" i="2"/>
  <c r="T96" i="2"/>
  <c r="T95" i="2"/>
  <c r="T94" i="2"/>
  <c r="T93" i="2"/>
  <c r="T92" i="2"/>
  <c r="T91" i="2"/>
  <c r="T90" i="2"/>
  <c r="T89" i="2"/>
  <c r="T88" i="2"/>
  <c r="T87" i="2"/>
  <c r="T86" i="2"/>
  <c r="T85" i="2"/>
  <c r="T84" i="2"/>
  <c r="T83" i="2"/>
  <c r="T82" i="2"/>
  <c r="T81" i="2"/>
  <c r="T80" i="2"/>
  <c r="T79" i="2"/>
  <c r="T78" i="2"/>
  <c r="T77" i="2"/>
  <c r="T76" i="2"/>
  <c r="T75" i="2"/>
  <c r="T74" i="2"/>
  <c r="T73" i="2"/>
  <c r="T72" i="2"/>
  <c r="T71" i="2"/>
  <c r="T70" i="2"/>
  <c r="T69" i="2"/>
  <c r="T68" i="2"/>
  <c r="T67" i="2"/>
  <c r="T66" i="2"/>
  <c r="T65" i="2"/>
  <c r="T64" i="2"/>
  <c r="T63" i="2"/>
  <c r="T62" i="2"/>
  <c r="T61" i="2"/>
  <c r="T60" i="2"/>
  <c r="T59" i="2"/>
  <c r="T58" i="2"/>
  <c r="T57" i="2"/>
  <c r="T56" i="2"/>
  <c r="T55" i="2"/>
  <c r="T54" i="2"/>
  <c r="T53" i="2"/>
  <c r="T52" i="2"/>
  <c r="T51" i="2"/>
  <c r="T50" i="2"/>
  <c r="T49" i="2"/>
  <c r="T48" i="2"/>
  <c r="T47" i="2"/>
  <c r="T46" i="2"/>
  <c r="T45" i="2"/>
  <c r="T44" i="2"/>
  <c r="T43" i="2"/>
  <c r="T42" i="2"/>
  <c r="T41" i="2"/>
  <c r="T40" i="2"/>
  <c r="T39" i="2"/>
  <c r="T38" i="2"/>
  <c r="T37" i="2"/>
  <c r="T36" i="2"/>
  <c r="T35" i="2"/>
  <c r="T34" i="2"/>
  <c r="T33" i="2"/>
  <c r="T32" i="2"/>
  <c r="T31" i="2"/>
  <c r="T30" i="2"/>
  <c r="T29" i="2"/>
  <c r="T28" i="2"/>
  <c r="T27" i="2"/>
  <c r="T26" i="2"/>
  <c r="T25" i="2"/>
  <c r="T24" i="2"/>
  <c r="T23" i="2"/>
  <c r="T22" i="2"/>
  <c r="T21" i="2"/>
  <c r="T20" i="2"/>
  <c r="T19" i="2"/>
  <c r="T18" i="2"/>
  <c r="T17" i="2"/>
  <c r="T16" i="2"/>
  <c r="T15" i="2"/>
  <c r="T14" i="2"/>
  <c r="T13" i="2"/>
  <c r="T12" i="2"/>
  <c r="T11" i="2"/>
  <c r="T10" i="2"/>
  <c r="T9" i="2"/>
  <c r="T8" i="2"/>
  <c r="T7" i="2"/>
  <c r="T6" i="2"/>
  <c r="T5" i="2"/>
  <c r="T4" i="2"/>
  <c r="T3" i="2"/>
  <c r="T2" i="2"/>
  <c r="F5" i="10" l="1"/>
  <c r="F6" i="10"/>
  <c r="F8" i="10"/>
  <c r="F11" i="10"/>
  <c r="F14" i="10"/>
  <c r="F26" i="10"/>
  <c r="F3" i="10"/>
  <c r="F7" i="10"/>
  <c r="F10" i="10"/>
  <c r="F13" i="10"/>
  <c r="F16" i="10"/>
  <c r="F17" i="10"/>
  <c r="F19" i="10"/>
  <c r="F22" i="10"/>
  <c r="F25" i="10"/>
  <c r="F29" i="10"/>
  <c r="F2" i="10"/>
  <c r="F21" i="10"/>
  <c r="F24" i="10"/>
  <c r="F27" i="10"/>
  <c r="F31" i="10"/>
  <c r="F4" i="10"/>
  <c r="F9" i="10"/>
  <c r="F12" i="10"/>
  <c r="F15" i="10"/>
  <c r="F18" i="10"/>
  <c r="F20" i="10"/>
  <c r="F23" i="10"/>
  <c r="F28" i="10"/>
  <c r="F30" i="10"/>
</calcChain>
</file>

<file path=xl/sharedStrings.xml><?xml version="1.0" encoding="utf-8"?>
<sst xmlns="http://schemas.openxmlformats.org/spreadsheetml/2006/main" count="9388" uniqueCount="1142">
  <si>
    <t>OPERATIONS &amp; PROJECT DELIVERY ANALYSIS</t>
  </si>
  <si>
    <t>Scenario</t>
  </si>
  <si>
    <t>Task ID</t>
  </si>
  <si>
    <t>Project ID</t>
  </si>
  <si>
    <t>Project Name</t>
  </si>
  <si>
    <t>Department</t>
  </si>
  <si>
    <t>Project Type</t>
  </si>
  <si>
    <t>Project Manager</t>
  </si>
  <si>
    <t>Workstream</t>
  </si>
  <si>
    <t>Task Name</t>
  </si>
  <si>
    <t>Priority</t>
  </si>
  <si>
    <t>Risk Level</t>
  </si>
  <si>
    <t>Vendor</t>
  </si>
  <si>
    <t>Planned Start</t>
  </si>
  <si>
    <t>Planned Finish</t>
  </si>
  <si>
    <t>Actual Finish</t>
  </si>
  <si>
    <t>Status</t>
  </si>
  <si>
    <t>Percent Complete</t>
  </si>
  <si>
    <t>Planned Budget</t>
  </si>
  <si>
    <t>Actual Cost</t>
  </si>
  <si>
    <t>Issue Count</t>
  </si>
  <si>
    <t>TSK-0001</t>
  </si>
  <si>
    <t>PRJ-1001</t>
  </si>
  <si>
    <t>Operations Facility Upgrade 01</t>
  </si>
  <si>
    <t>Operations</t>
  </si>
  <si>
    <t>Facility Upgrade</t>
  </si>
  <si>
    <t>Avery Brooks</t>
  </si>
  <si>
    <t>Planning</t>
  </si>
  <si>
    <t>Planning Task 01</t>
  </si>
  <si>
    <t>Medium</t>
  </si>
  <si>
    <t>Low</t>
  </si>
  <si>
    <t>Internal Team</t>
  </si>
  <si>
    <t>Completed</t>
  </si>
  <si>
    <t>TSK-0002</t>
  </si>
  <si>
    <t>PRJ-1002</t>
  </si>
  <si>
    <t>Technology Compliance 02</t>
  </si>
  <si>
    <t>Technology</t>
  </si>
  <si>
    <t>Compliance</t>
  </si>
  <si>
    <t>Jordan Lee</t>
  </si>
  <si>
    <t>Requirements</t>
  </si>
  <si>
    <t>Requirements Task 01</t>
  </si>
  <si>
    <t>Summit Partners</t>
  </si>
  <si>
    <t>Not Started</t>
  </si>
  <si>
    <t>TSK-0003</t>
  </si>
  <si>
    <t>PRJ-1003</t>
  </si>
  <si>
    <t>Finance Vendor Transition 03</t>
  </si>
  <si>
    <t>Finance</t>
  </si>
  <si>
    <t>Vendor Transition</t>
  </si>
  <si>
    <t>Morgan Patel</t>
  </si>
  <si>
    <t>Configuration</t>
  </si>
  <si>
    <t>Configuration Task 01</t>
  </si>
  <si>
    <t>Northstar Consulting</t>
  </si>
  <si>
    <t>In Progress</t>
  </si>
  <si>
    <t>TSK-0004</t>
  </si>
  <si>
    <t>PRJ-1004</t>
  </si>
  <si>
    <t>Human Resources System Implementation 04</t>
  </si>
  <si>
    <t>Human Resources</t>
  </si>
  <si>
    <t>System Implementation</t>
  </si>
  <si>
    <t>Taylor Reed</t>
  </si>
  <si>
    <t>Execution</t>
  </si>
  <si>
    <t>Execution Task 01</t>
  </si>
  <si>
    <t>TSK-0005</t>
  </si>
  <si>
    <t>PRJ-1005</t>
  </si>
  <si>
    <t>Facilities Cost Reduction 05</t>
  </si>
  <si>
    <t>Facilities</t>
  </si>
  <si>
    <t>Cost Reduction</t>
  </si>
  <si>
    <t>Cameron Diaz</t>
  </si>
  <si>
    <t>Testing</t>
  </si>
  <si>
    <t>Testing Task 01</t>
  </si>
  <si>
    <t>High</t>
  </si>
  <si>
    <t>TSK-0006</t>
  </si>
  <si>
    <t>PRJ-1006</t>
  </si>
  <si>
    <t>Marketing Automation 06</t>
  </si>
  <si>
    <t>Marketing</t>
  </si>
  <si>
    <t>Automation</t>
  </si>
  <si>
    <t>Riley Chen</t>
  </si>
  <si>
    <t>Training</t>
  </si>
  <si>
    <t>Training Task 01</t>
  </si>
  <si>
    <t>Vertex Systems</t>
  </si>
  <si>
    <t>TSK-0007</t>
  </si>
  <si>
    <t>PRJ-1007</t>
  </si>
  <si>
    <t>Procurement Process Improvement 07</t>
  </si>
  <si>
    <t>Procurement</t>
  </si>
  <si>
    <t>Process Improvement</t>
  </si>
  <si>
    <t>Launch</t>
  </si>
  <si>
    <t>Launch Task 01</t>
  </si>
  <si>
    <t>Critical</t>
  </si>
  <si>
    <t>TSK-0008</t>
  </si>
  <si>
    <t>PRJ-1008</t>
  </si>
  <si>
    <t>Operations Facility Upgrade 08</t>
  </si>
  <si>
    <t>Closeout</t>
  </si>
  <si>
    <t>Closeout Task 01</t>
  </si>
  <si>
    <t>TSK-0009</t>
  </si>
  <si>
    <t>PRJ-1009</t>
  </si>
  <si>
    <t>Technology Compliance 09</t>
  </si>
  <si>
    <t>Discovery</t>
  </si>
  <si>
    <t>Discovery Task 01</t>
  </si>
  <si>
    <t>TSK-0010</t>
  </si>
  <si>
    <t>PRJ-1010</t>
  </si>
  <si>
    <t>Finance Vendor Transition 10</t>
  </si>
  <si>
    <t>TSK-0011</t>
  </si>
  <si>
    <t>PRJ-1011</t>
  </si>
  <si>
    <t>Human Resources System Implementation 11</t>
  </si>
  <si>
    <t>TSK-0012</t>
  </si>
  <si>
    <t>PRJ-1012</t>
  </si>
  <si>
    <t>Facilities Cost Reduction 12</t>
  </si>
  <si>
    <t>TSK-0013</t>
  </si>
  <si>
    <t>PRJ-1013</t>
  </si>
  <si>
    <t>Marketing Automation 13</t>
  </si>
  <si>
    <t>On Hold</t>
  </si>
  <si>
    <t>TSK-0014</t>
  </si>
  <si>
    <t>PRJ-1014</t>
  </si>
  <si>
    <t>Procurement Process Improvement 14</t>
  </si>
  <si>
    <t>TSK-0015</t>
  </si>
  <si>
    <t>PRJ-1015</t>
  </si>
  <si>
    <t>Operations Facility Upgrade 15</t>
  </si>
  <si>
    <t>TSK-0016</t>
  </si>
  <si>
    <t>PRJ-1016</t>
  </si>
  <si>
    <t>Technology Compliance 16</t>
  </si>
  <si>
    <t>TSK-0017</t>
  </si>
  <si>
    <t>PRJ-1017</t>
  </si>
  <si>
    <t>Finance Vendor Transition 17</t>
  </si>
  <si>
    <t>TSK-0018</t>
  </si>
  <si>
    <t>PRJ-1018</t>
  </si>
  <si>
    <t>Human Resources System Implementation 18</t>
  </si>
  <si>
    <t>TSK-0019</t>
  </si>
  <si>
    <t>PRJ-1019</t>
  </si>
  <si>
    <t>Facilities Cost Reduction 19</t>
  </si>
  <si>
    <t>TSK-0020</t>
  </si>
  <si>
    <t>PRJ-1020</t>
  </si>
  <si>
    <t>Marketing Automation 20</t>
  </si>
  <si>
    <t>TSK-0021</t>
  </si>
  <si>
    <t>PRJ-1021</t>
  </si>
  <si>
    <t>Procurement Process Improvement 21</t>
  </si>
  <si>
    <t>TSK-0022</t>
  </si>
  <si>
    <t>PRJ-1022</t>
  </si>
  <si>
    <t>Operations Facility Upgrade 22</t>
  </si>
  <si>
    <t>TSK-0023</t>
  </si>
  <si>
    <t>PRJ-1023</t>
  </si>
  <si>
    <t>Technology Compliance 23</t>
  </si>
  <si>
    <t>TSK-0024</t>
  </si>
  <si>
    <t>PRJ-1024</t>
  </si>
  <si>
    <t>Finance Vendor Transition 24</t>
  </si>
  <si>
    <t>Apex Solutions</t>
  </si>
  <si>
    <t>TSK-0025</t>
  </si>
  <si>
    <t>PRJ-1025</t>
  </si>
  <si>
    <t>Human Resources System Implementation 25</t>
  </si>
  <si>
    <t>TSK-0026</t>
  </si>
  <si>
    <t>PRJ-1026</t>
  </si>
  <si>
    <t>Facilities Cost Reduction 26</t>
  </si>
  <si>
    <t>TSK-0027</t>
  </si>
  <si>
    <t>PRJ-1027</t>
  </si>
  <si>
    <t>Marketing Automation 27</t>
  </si>
  <si>
    <t>TSK-0028</t>
  </si>
  <si>
    <t>PRJ-1028</t>
  </si>
  <si>
    <t>Procurement Process Improvement 28</t>
  </si>
  <si>
    <t>TSK-0029</t>
  </si>
  <si>
    <t>PRJ-1029</t>
  </si>
  <si>
    <t>Operations Facility Upgrade 29</t>
  </si>
  <si>
    <t>TSK-0030</t>
  </si>
  <si>
    <t>PRJ-1030</t>
  </si>
  <si>
    <t>Technology Compliance 30</t>
  </si>
  <si>
    <t>TSK-0031</t>
  </si>
  <si>
    <t>Testing Task 02</t>
  </si>
  <si>
    <t>TSK-0032</t>
  </si>
  <si>
    <t>Training Task 02</t>
  </si>
  <si>
    <t>TSK-0033</t>
  </si>
  <si>
    <t>Launch Task 02</t>
  </si>
  <si>
    <t>TSK-0034</t>
  </si>
  <si>
    <t>Closeout Task 02</t>
  </si>
  <si>
    <t>TSK-0035</t>
  </si>
  <si>
    <t>Discovery Task 02</t>
  </si>
  <si>
    <t>TSK-0036</t>
  </si>
  <si>
    <t>Planning Task 02</t>
  </si>
  <si>
    <t>TSK-0037</t>
  </si>
  <si>
    <t>Requirements Task 02</t>
  </si>
  <si>
    <t>TSK-0038</t>
  </si>
  <si>
    <t>Configuration Task 02</t>
  </si>
  <si>
    <t>BluePeak Services</t>
  </si>
  <si>
    <t>TSK-0039</t>
  </si>
  <si>
    <t>Execution Task 02</t>
  </si>
  <si>
    <t>TSK-0040</t>
  </si>
  <si>
    <t>TSK-0041</t>
  </si>
  <si>
    <t>TSK-0042</t>
  </si>
  <si>
    <t>TSK-0043</t>
  </si>
  <si>
    <t>TSK-0044</t>
  </si>
  <si>
    <t>TSK-0045</t>
  </si>
  <si>
    <t>TSK-0046</t>
  </si>
  <si>
    <t>TSK-0047</t>
  </si>
  <si>
    <t>TSK-0048</t>
  </si>
  <si>
    <t>TSK-0049</t>
  </si>
  <si>
    <t>TSK-0050</t>
  </si>
  <si>
    <t>TSK-0051</t>
  </si>
  <si>
    <t>TSK-0052</t>
  </si>
  <si>
    <t>TSK-0053</t>
  </si>
  <si>
    <t>TSK-0054</t>
  </si>
  <si>
    <t>TSK-0055</t>
  </si>
  <si>
    <t>TSK-0056</t>
  </si>
  <si>
    <t>TSK-0057</t>
  </si>
  <si>
    <t>TSK-0058</t>
  </si>
  <si>
    <t>TSK-0059</t>
  </si>
  <si>
    <t>TSK-0060</t>
  </si>
  <si>
    <t>TSK-0061</t>
  </si>
  <si>
    <t>Discovery Task 03</t>
  </si>
  <si>
    <t>TSK-0062</t>
  </si>
  <si>
    <t>Planning Task 03</t>
  </si>
  <si>
    <t>TSK-0063</t>
  </si>
  <si>
    <t>Requirements Task 03</t>
  </si>
  <si>
    <t>TSK-0064</t>
  </si>
  <si>
    <t>Configuration Task 03</t>
  </si>
  <si>
    <t>TSK-0065</t>
  </si>
  <si>
    <t>Execution Task 03</t>
  </si>
  <si>
    <t>TSK-0066</t>
  </si>
  <si>
    <t>Testing Task 03</t>
  </si>
  <si>
    <t>TSK-0067</t>
  </si>
  <si>
    <t>Training Task 03</t>
  </si>
  <si>
    <t>TSK-0068</t>
  </si>
  <si>
    <t>Launch Task 03</t>
  </si>
  <si>
    <t>TSK-0069</t>
  </si>
  <si>
    <t>Closeout Task 03</t>
  </si>
  <si>
    <t>TSK-0070</t>
  </si>
  <si>
    <t>TSK-0071</t>
  </si>
  <si>
    <t>TSK-0072</t>
  </si>
  <si>
    <t>TSK-0073</t>
  </si>
  <si>
    <t>TSK-0074</t>
  </si>
  <si>
    <t>TSK-0075</t>
  </si>
  <si>
    <t>TSK-0076</t>
  </si>
  <si>
    <t>TSK-0077</t>
  </si>
  <si>
    <t>TSK-0078</t>
  </si>
  <si>
    <t>TSK-0079</t>
  </si>
  <si>
    <t>TSK-0080</t>
  </si>
  <si>
    <t>TSK-0081</t>
  </si>
  <si>
    <t>TSK-0082</t>
  </si>
  <si>
    <t>TSK-0083</t>
  </si>
  <si>
    <t>TSK-0084</t>
  </si>
  <si>
    <t>TSK-0085</t>
  </si>
  <si>
    <t>TSK-0086</t>
  </si>
  <si>
    <t>TSK-0087</t>
  </si>
  <si>
    <t>TSK-0088</t>
  </si>
  <si>
    <t>TSK-0089</t>
  </si>
  <si>
    <t>TSK-0090</t>
  </si>
  <si>
    <t>TSK-0091</t>
  </si>
  <si>
    <t>Execution Task 04</t>
  </si>
  <si>
    <t>TSK-0092</t>
  </si>
  <si>
    <t>Testing Task 04</t>
  </si>
  <si>
    <t>TSK-0093</t>
  </si>
  <si>
    <t>Training Task 04</t>
  </si>
  <si>
    <t>TSK-0094</t>
  </si>
  <si>
    <t>Launch Task 04</t>
  </si>
  <si>
    <t>TSK-0095</t>
  </si>
  <si>
    <t>Closeout Task 04</t>
  </si>
  <si>
    <t>TSK-0096</t>
  </si>
  <si>
    <t>Discovery Task 04</t>
  </si>
  <si>
    <t>TSK-0097</t>
  </si>
  <si>
    <t>Planning Task 04</t>
  </si>
  <si>
    <t>TSK-0098</t>
  </si>
  <si>
    <t>Requirements Task 04</t>
  </si>
  <si>
    <t>TSK-0099</t>
  </si>
  <si>
    <t>Configuration Task 04</t>
  </si>
  <si>
    <t>TSK-0100</t>
  </si>
  <si>
    <t>TSK-0101</t>
  </si>
  <si>
    <t>TSK-0102</t>
  </si>
  <si>
    <t>TSK-0103</t>
  </si>
  <si>
    <t>TSK-0104</t>
  </si>
  <si>
    <t>TSK-0105</t>
  </si>
  <si>
    <t>TSK-0106</t>
  </si>
  <si>
    <t>TSK-0107</t>
  </si>
  <si>
    <t>TSK-0108</t>
  </si>
  <si>
    <t>TSK-0109</t>
  </si>
  <si>
    <t>TSK-0110</t>
  </si>
  <si>
    <t>TSK-0111</t>
  </si>
  <si>
    <t>TSK-0112</t>
  </si>
  <si>
    <t>TSK-0113</t>
  </si>
  <si>
    <t>TSK-0114</t>
  </si>
  <si>
    <t>TSK-0115</t>
  </si>
  <si>
    <t>TSK-0116</t>
  </si>
  <si>
    <t>TSK-0117</t>
  </si>
  <si>
    <t>TSK-0118</t>
  </si>
  <si>
    <t>TSK-0119</t>
  </si>
  <si>
    <t>TSK-0120</t>
  </si>
  <si>
    <t>TSK-0121</t>
  </si>
  <si>
    <t>Closeout Task 05</t>
  </si>
  <si>
    <t>TSK-0122</t>
  </si>
  <si>
    <t>Discovery Task 05</t>
  </si>
  <si>
    <t>TSK-0123</t>
  </si>
  <si>
    <t>Planning Task 05</t>
  </si>
  <si>
    <t>TSK-0124</t>
  </si>
  <si>
    <t>Requirements Task 05</t>
  </si>
  <si>
    <t>TSK-0125</t>
  </si>
  <si>
    <t>Configuration Task 05</t>
  </si>
  <si>
    <t>TSK-0126</t>
  </si>
  <si>
    <t>Execution Task 05</t>
  </si>
  <si>
    <t>TSK-0127</t>
  </si>
  <si>
    <t>Testing Task 05</t>
  </si>
  <si>
    <t>TSK-0128</t>
  </si>
  <si>
    <t>Training Task 05</t>
  </si>
  <si>
    <t>TSK-0129</t>
  </si>
  <si>
    <t>Launch Task 05</t>
  </si>
  <si>
    <t>TSK-0130</t>
  </si>
  <si>
    <t>TSK-0131</t>
  </si>
  <si>
    <t>TSK-0132</t>
  </si>
  <si>
    <t>TSK-0133</t>
  </si>
  <si>
    <t>TSK-0134</t>
  </si>
  <si>
    <t>TSK-0135</t>
  </si>
  <si>
    <t>TSK-0136</t>
  </si>
  <si>
    <t>TSK-0137</t>
  </si>
  <si>
    <t>TSK-0138</t>
  </si>
  <si>
    <t>TSK-0139</t>
  </si>
  <si>
    <t>TSK-0140</t>
  </si>
  <si>
    <t>TSK-0141</t>
  </si>
  <si>
    <t>TSK-0142</t>
  </si>
  <si>
    <t>TSK-0143</t>
  </si>
  <si>
    <t>TSK-0144</t>
  </si>
  <si>
    <t>TSK-0145</t>
  </si>
  <si>
    <t>TSK-0146</t>
  </si>
  <si>
    <t>TSK-0147</t>
  </si>
  <si>
    <t>TSK-0148</t>
  </si>
  <si>
    <t>TSK-0149</t>
  </si>
  <si>
    <t>TSK-0150</t>
  </si>
  <si>
    <t>TSK-0151</t>
  </si>
  <si>
    <t>Configuration Task 06</t>
  </si>
  <si>
    <t>TSK-0152</t>
  </si>
  <si>
    <t>Execution Task 06</t>
  </si>
  <si>
    <t>TSK-0153</t>
  </si>
  <si>
    <t>Testing Task 06</t>
  </si>
  <si>
    <t>TSK-0154</t>
  </si>
  <si>
    <t>Training Task 06</t>
  </si>
  <si>
    <t>TSK-0155</t>
  </si>
  <si>
    <t>Launch Task 06</t>
  </si>
  <si>
    <t>TSK-0156</t>
  </si>
  <si>
    <t>Closeout Task 06</t>
  </si>
  <si>
    <t>TSK-0157</t>
  </si>
  <si>
    <t>Discovery Task 06</t>
  </si>
  <si>
    <t>TSK-0158</t>
  </si>
  <si>
    <t>Planning Task 06</t>
  </si>
  <si>
    <t>TSK-0159</t>
  </si>
  <si>
    <t>Requirements Task 06</t>
  </si>
  <si>
    <t>TSK-0160</t>
  </si>
  <si>
    <t>TSK-0161</t>
  </si>
  <si>
    <t>TSK-0162</t>
  </si>
  <si>
    <t>TSK-0163</t>
  </si>
  <si>
    <t>TSK-0164</t>
  </si>
  <si>
    <t>TSK-0165</t>
  </si>
  <si>
    <t>TSK-0166</t>
  </si>
  <si>
    <t>TSK-0167</t>
  </si>
  <si>
    <t>TSK-0168</t>
  </si>
  <si>
    <t>TSK-0169</t>
  </si>
  <si>
    <t>TSK-0170</t>
  </si>
  <si>
    <t>TSK-0171</t>
  </si>
  <si>
    <t>TSK-0172</t>
  </si>
  <si>
    <t>TSK-0173</t>
  </si>
  <si>
    <t>TSK-0174</t>
  </si>
  <si>
    <t>TSK-0175</t>
  </si>
  <si>
    <t>TSK-0176</t>
  </si>
  <si>
    <t>TSK-0177</t>
  </si>
  <si>
    <t>TSK-0178</t>
  </si>
  <si>
    <t>TSK-0179</t>
  </si>
  <si>
    <t>TSK-0180</t>
  </si>
  <si>
    <t>TSK-0181</t>
  </si>
  <si>
    <t>Launch Task 07</t>
  </si>
  <si>
    <t>TSK-0182</t>
  </si>
  <si>
    <t>Closeout Task 07</t>
  </si>
  <si>
    <t>TSK-0183</t>
  </si>
  <si>
    <t>Discovery Task 07</t>
  </si>
  <si>
    <t>TSK-0184</t>
  </si>
  <si>
    <t>Planning Task 07</t>
  </si>
  <si>
    <t>TSK-0185</t>
  </si>
  <si>
    <t>Requirements Task 07</t>
  </si>
  <si>
    <t>TSK-0186</t>
  </si>
  <si>
    <t>Configuration Task 07</t>
  </si>
  <si>
    <t>TSK-0187</t>
  </si>
  <si>
    <t>Execution Task 07</t>
  </si>
  <si>
    <t>TSK-0188</t>
  </si>
  <si>
    <t>Testing Task 07</t>
  </si>
  <si>
    <t>TSK-0189</t>
  </si>
  <si>
    <t>Training Task 07</t>
  </si>
  <si>
    <t>TSK-0190</t>
  </si>
  <si>
    <t>TSK-0191</t>
  </si>
  <si>
    <t>TSK-0192</t>
  </si>
  <si>
    <t>TSK-0193</t>
  </si>
  <si>
    <t>TSK-0194</t>
  </si>
  <si>
    <t>TSK-0195</t>
  </si>
  <si>
    <t>TSK-0196</t>
  </si>
  <si>
    <t>TSK-0197</t>
  </si>
  <si>
    <t>TSK-0198</t>
  </si>
  <si>
    <t>TSK-0199</t>
  </si>
  <si>
    <t>TSK-0200</t>
  </si>
  <si>
    <t>TSK-0201</t>
  </si>
  <si>
    <t>TSK-0202</t>
  </si>
  <si>
    <t>TSK-0203</t>
  </si>
  <si>
    <t>TSK-0204</t>
  </si>
  <si>
    <t>TSK-0205</t>
  </si>
  <si>
    <t>TSK-0206</t>
  </si>
  <si>
    <t>TSK-0207</t>
  </si>
  <si>
    <t>TSK-0208</t>
  </si>
  <si>
    <t>TSK-0209</t>
  </si>
  <si>
    <t>TSK-0210</t>
  </si>
  <si>
    <t>TSK-0211</t>
  </si>
  <si>
    <t>Requirements Task 08</t>
  </si>
  <si>
    <t>TSK-0212</t>
  </si>
  <si>
    <t>Configuration Task 08</t>
  </si>
  <si>
    <t>TSK-0213</t>
  </si>
  <si>
    <t>Execution Task 08</t>
  </si>
  <si>
    <t>TSK-0214</t>
  </si>
  <si>
    <t>Testing Task 08</t>
  </si>
  <si>
    <t>TSK-0215</t>
  </si>
  <si>
    <t>Training Task 08</t>
  </si>
  <si>
    <t>TSK-0216</t>
  </si>
  <si>
    <t>Launch Task 08</t>
  </si>
  <si>
    <t>TSK-0217</t>
  </si>
  <si>
    <t>Closeout Task 08</t>
  </si>
  <si>
    <t>TSK-0218</t>
  </si>
  <si>
    <t>Discovery Task 08</t>
  </si>
  <si>
    <t>TSK-0219</t>
  </si>
  <si>
    <t>Planning Task 08</t>
  </si>
  <si>
    <t>TSK-0220</t>
  </si>
  <si>
    <t>TSK-0221</t>
  </si>
  <si>
    <t>TSK-0222</t>
  </si>
  <si>
    <t>TSK-0223</t>
  </si>
  <si>
    <t>TSK-0224</t>
  </si>
  <si>
    <t>TSK-0225</t>
  </si>
  <si>
    <t>TSK-0226</t>
  </si>
  <si>
    <t>TSK-0227</t>
  </si>
  <si>
    <t>TSK-0228</t>
  </si>
  <si>
    <t>TSK-0229</t>
  </si>
  <si>
    <t>TSK-0230</t>
  </si>
  <si>
    <t>TSK-0231</t>
  </si>
  <si>
    <t>TSK-0232</t>
  </si>
  <si>
    <t>TSK-0233</t>
  </si>
  <si>
    <t>TSK-0234</t>
  </si>
  <si>
    <t>TSK-0235</t>
  </si>
  <si>
    <t>TSK-0236</t>
  </si>
  <si>
    <t>TSK-0237</t>
  </si>
  <si>
    <t>TSK-0238</t>
  </si>
  <si>
    <t>TSK-0239</t>
  </si>
  <si>
    <t>TSK-0240</t>
  </si>
  <si>
    <t>TSK-0241</t>
  </si>
  <si>
    <t>Training Task 09</t>
  </si>
  <si>
    <t>TSK-0242</t>
  </si>
  <si>
    <t>Launch Task 09</t>
  </si>
  <si>
    <t>TSK-0243</t>
  </si>
  <si>
    <t>Closeout Task 09</t>
  </si>
  <si>
    <t>TSK-0244</t>
  </si>
  <si>
    <t>Discovery Task 09</t>
  </si>
  <si>
    <t>TSK-0245</t>
  </si>
  <si>
    <t>Planning Task 09</t>
  </si>
  <si>
    <t>TSK-0246</t>
  </si>
  <si>
    <t>Requirements Task 09</t>
  </si>
  <si>
    <t>TSK-0247</t>
  </si>
  <si>
    <t>Configuration Task 09</t>
  </si>
  <si>
    <t>TSK-0248</t>
  </si>
  <si>
    <t>Execution Task 09</t>
  </si>
  <si>
    <t>TSK-0249</t>
  </si>
  <si>
    <t>Testing Task 09</t>
  </si>
  <si>
    <t>TSK-0250</t>
  </si>
  <si>
    <t>TSK-0251</t>
  </si>
  <si>
    <t>TSK-0252</t>
  </si>
  <si>
    <t>TSK-0253</t>
  </si>
  <si>
    <t>TSK-0254</t>
  </si>
  <si>
    <t>TSK-0255</t>
  </si>
  <si>
    <t>TSK-0256</t>
  </si>
  <si>
    <t>TSK-0257</t>
  </si>
  <si>
    <t>TSK-0258</t>
  </si>
  <si>
    <t>TSK-0259</t>
  </si>
  <si>
    <t>TSK-0260</t>
  </si>
  <si>
    <t>TSK-0261</t>
  </si>
  <si>
    <t>TSK-0262</t>
  </si>
  <si>
    <t>TSK-0263</t>
  </si>
  <si>
    <t>TSK-0264</t>
  </si>
  <si>
    <t>TSK-0265</t>
  </si>
  <si>
    <t>TSK-0266</t>
  </si>
  <si>
    <t>TSK-0267</t>
  </si>
  <si>
    <t>TSK-0268</t>
  </si>
  <si>
    <t>TSK-0269</t>
  </si>
  <si>
    <t>TSK-0270</t>
  </si>
  <si>
    <t>TSK-0271</t>
  </si>
  <si>
    <t>Planning Task 10</t>
  </si>
  <si>
    <t>TSK-0272</t>
  </si>
  <si>
    <t>Requirements Task 10</t>
  </si>
  <si>
    <t>TSK-0273</t>
  </si>
  <si>
    <t>Configuration Task 10</t>
  </si>
  <si>
    <t>TSK-0274</t>
  </si>
  <si>
    <t>Execution Task 10</t>
  </si>
  <si>
    <t>TSK-0275</t>
  </si>
  <si>
    <t>Testing Task 10</t>
  </si>
  <si>
    <t>TSK-0276</t>
  </si>
  <si>
    <t>Training Task 10</t>
  </si>
  <si>
    <t>TSK-0277</t>
  </si>
  <si>
    <t>Launch Task 10</t>
  </si>
  <si>
    <t>TSK-0278</t>
  </si>
  <si>
    <t>Closeout Task 10</t>
  </si>
  <si>
    <t>TSK-0279</t>
  </si>
  <si>
    <t>Discovery Task 10</t>
  </si>
  <si>
    <t>TSK-0280</t>
  </si>
  <si>
    <t>TSK-0281</t>
  </si>
  <si>
    <t>TSK-0282</t>
  </si>
  <si>
    <t>TSK-0283</t>
  </si>
  <si>
    <t>TSK-0284</t>
  </si>
  <si>
    <t>TSK-0285</t>
  </si>
  <si>
    <t>TSK-0286</t>
  </si>
  <si>
    <t>TSK-0287</t>
  </si>
  <si>
    <t>TSK-0288</t>
  </si>
  <si>
    <t>TSK-0289</t>
  </si>
  <si>
    <t>TSK-0290</t>
  </si>
  <si>
    <t>TSK-0291</t>
  </si>
  <si>
    <t>TSK-0292</t>
  </si>
  <si>
    <t>TSK-0293</t>
  </si>
  <si>
    <t>TSK-0294</t>
  </si>
  <si>
    <t>TSK-0295</t>
  </si>
  <si>
    <t>TSK-0296</t>
  </si>
  <si>
    <t>TSK-0297</t>
  </si>
  <si>
    <t>TSK-0298</t>
  </si>
  <si>
    <t>TSK-0299</t>
  </si>
  <si>
    <t>TSK-0300</t>
  </si>
  <si>
    <t>TSK-0301</t>
  </si>
  <si>
    <t>Testing Task 11</t>
  </si>
  <si>
    <t>TSK-0302</t>
  </si>
  <si>
    <t>Training Task 11</t>
  </si>
  <si>
    <t>TSK-0303</t>
  </si>
  <si>
    <t>Launch Task 11</t>
  </si>
  <si>
    <t>TSK-0304</t>
  </si>
  <si>
    <t>Closeout Task 11</t>
  </si>
  <si>
    <t>TSK-0305</t>
  </si>
  <si>
    <t>Discovery Task 11</t>
  </si>
  <si>
    <t>TSK-0306</t>
  </si>
  <si>
    <t>Planning Task 11</t>
  </si>
  <si>
    <t>TSK-0307</t>
  </si>
  <si>
    <t>Requirements Task 11</t>
  </si>
  <si>
    <t>TSK-0308</t>
  </si>
  <si>
    <t>Configuration Task 11</t>
  </si>
  <si>
    <t>TSK-0309</t>
  </si>
  <si>
    <t>Execution Task 11</t>
  </si>
  <si>
    <t>TSK-0310</t>
  </si>
  <si>
    <t>TSK-0311</t>
  </si>
  <si>
    <t>TSK-0312</t>
  </si>
  <si>
    <t>TSK-0313</t>
  </si>
  <si>
    <t>TSK-0314</t>
  </si>
  <si>
    <t>TSK-0315</t>
  </si>
  <si>
    <t>TSK-0316</t>
  </si>
  <si>
    <t>TSK-0317</t>
  </si>
  <si>
    <t>TSK-0318</t>
  </si>
  <si>
    <t>TSK-0319</t>
  </si>
  <si>
    <t>TSK-0320</t>
  </si>
  <si>
    <t>TSK-0321</t>
  </si>
  <si>
    <t>TSK-0322</t>
  </si>
  <si>
    <t>TSK-0323</t>
  </si>
  <si>
    <t>TSK-0324</t>
  </si>
  <si>
    <t>TSK-0325</t>
  </si>
  <si>
    <t>TSK-0326</t>
  </si>
  <si>
    <t>TSK-0327</t>
  </si>
  <si>
    <t>TSK-0328</t>
  </si>
  <si>
    <t>TSK-0329</t>
  </si>
  <si>
    <t>TSK-0330</t>
  </si>
  <si>
    <t>TSK-0331</t>
  </si>
  <si>
    <t>Discovery Task 12</t>
  </si>
  <si>
    <t>TSK-0332</t>
  </si>
  <si>
    <t>Planning Task 12</t>
  </si>
  <si>
    <t>TSK-0333</t>
  </si>
  <si>
    <t>Requirements Task 12</t>
  </si>
  <si>
    <t>TSK-0334</t>
  </si>
  <si>
    <t>Configuration Task 12</t>
  </si>
  <si>
    <t>TSK-0335</t>
  </si>
  <si>
    <t>Execution Task 12</t>
  </si>
  <si>
    <t>TSK-0336</t>
  </si>
  <si>
    <t>Testing Task 12</t>
  </si>
  <si>
    <t>TSK-0337</t>
  </si>
  <si>
    <t>Training Task 12</t>
  </si>
  <si>
    <t>TSK-0338</t>
  </si>
  <si>
    <t>Launch Task 12</t>
  </si>
  <si>
    <t>TSK-0339</t>
  </si>
  <si>
    <t>Closeout Task 12</t>
  </si>
  <si>
    <t>TSK-0340</t>
  </si>
  <si>
    <t>TSK-0341</t>
  </si>
  <si>
    <t>TSK-0342</t>
  </si>
  <si>
    <t>TSK-0343</t>
  </si>
  <si>
    <t>TSK-0344</t>
  </si>
  <si>
    <t>TSK-0345</t>
  </si>
  <si>
    <t>TSK-0346</t>
  </si>
  <si>
    <t>TSK-0347</t>
  </si>
  <si>
    <t>TSK-0348</t>
  </si>
  <si>
    <t>TSK-0349</t>
  </si>
  <si>
    <t>TSK-0350</t>
  </si>
  <si>
    <t>TSK-0351</t>
  </si>
  <si>
    <t>TSK-0352</t>
  </si>
  <si>
    <t>TSK-0353</t>
  </si>
  <si>
    <t>TSK-0354</t>
  </si>
  <si>
    <t>TSK-0355</t>
  </si>
  <si>
    <t>TSK-0356</t>
  </si>
  <si>
    <t>TSK-0357</t>
  </si>
  <si>
    <t>TSK-0358</t>
  </si>
  <si>
    <t>TSK-0359</t>
  </si>
  <si>
    <t>TSK-0360</t>
  </si>
  <si>
    <t>TSK-0361</t>
  </si>
  <si>
    <t>Execution Task 13</t>
  </si>
  <si>
    <t>TSK-0362</t>
  </si>
  <si>
    <t>Testing Task 13</t>
  </si>
  <si>
    <t>TSK-0363</t>
  </si>
  <si>
    <t>Training Task 13</t>
  </si>
  <si>
    <t>TSK-0364</t>
  </si>
  <si>
    <t>Launch Task 13</t>
  </si>
  <si>
    <t>TSK-0365</t>
  </si>
  <si>
    <t>Closeout Task 13</t>
  </si>
  <si>
    <t>TSK-0366</t>
  </si>
  <si>
    <t>Discovery Task 13</t>
  </si>
  <si>
    <t>TSK-0367</t>
  </si>
  <si>
    <t>Planning Task 13</t>
  </si>
  <si>
    <t>TSK-0368</t>
  </si>
  <si>
    <t>Requirements Task 13</t>
  </si>
  <si>
    <t>TSK-0369</t>
  </si>
  <si>
    <t>Configuration Task 13</t>
  </si>
  <si>
    <t>TSK-0370</t>
  </si>
  <si>
    <t>TSK-0371</t>
  </si>
  <si>
    <t>TSK-0372</t>
  </si>
  <si>
    <t>TSK-0373</t>
  </si>
  <si>
    <t>TSK-0374</t>
  </si>
  <si>
    <t>TSK-0375</t>
  </si>
  <si>
    <t>TSK-0376</t>
  </si>
  <si>
    <t>TSK-0377</t>
  </si>
  <si>
    <t>TSK-0378</t>
  </si>
  <si>
    <t>TSK-0379</t>
  </si>
  <si>
    <t>TSK-0380</t>
  </si>
  <si>
    <t>TSK-0381</t>
  </si>
  <si>
    <t>TSK-0382</t>
  </si>
  <si>
    <t>TSK-0383</t>
  </si>
  <si>
    <t>TSK-0384</t>
  </si>
  <si>
    <t>TSK-0385</t>
  </si>
  <si>
    <t>TSK-0386</t>
  </si>
  <si>
    <t>TSK-0387</t>
  </si>
  <si>
    <t>TSK-0388</t>
  </si>
  <si>
    <t>TSK-0389</t>
  </si>
  <si>
    <t>TSK-0390</t>
  </si>
  <si>
    <t>TSK-0391</t>
  </si>
  <si>
    <t>Closeout Task 14</t>
  </si>
  <si>
    <t>TSK-0392</t>
  </si>
  <si>
    <t>Discovery Task 14</t>
  </si>
  <si>
    <t>TSK-0393</t>
  </si>
  <si>
    <t>Planning Task 14</t>
  </si>
  <si>
    <t>TSK-0394</t>
  </si>
  <si>
    <t>Requirements Task 14</t>
  </si>
  <si>
    <t>TSK-0395</t>
  </si>
  <si>
    <t>Configuration Task 14</t>
  </si>
  <si>
    <t>TSK-0396</t>
  </si>
  <si>
    <t>Execution Task 14</t>
  </si>
  <si>
    <t>TSK-0397</t>
  </si>
  <si>
    <t>Testing Task 14</t>
  </si>
  <si>
    <t>TSK-0398</t>
  </si>
  <si>
    <t>Training Task 14</t>
  </si>
  <si>
    <t>TSK-0399</t>
  </si>
  <si>
    <t>Launch Task 14</t>
  </si>
  <si>
    <t>TSK-0400</t>
  </si>
  <si>
    <t>TSK-0401</t>
  </si>
  <si>
    <t>TSK-0402</t>
  </si>
  <si>
    <t>TSK-0403</t>
  </si>
  <si>
    <t>TSK-0404</t>
  </si>
  <si>
    <t>TSK-0405</t>
  </si>
  <si>
    <t>TSK-0406</t>
  </si>
  <si>
    <t>TSK-0407</t>
  </si>
  <si>
    <t>TSK-0408</t>
  </si>
  <si>
    <t>TSK-0409</t>
  </si>
  <si>
    <t>TSK-0410</t>
  </si>
  <si>
    <t>TSK-0411</t>
  </si>
  <si>
    <t>TSK-0412</t>
  </si>
  <si>
    <t>TSK-0413</t>
  </si>
  <si>
    <t>TSK-0414</t>
  </si>
  <si>
    <t>TSK-0415</t>
  </si>
  <si>
    <t>TSK-0416</t>
  </si>
  <si>
    <t>TSK-0417</t>
  </si>
  <si>
    <t>TSK-0418</t>
  </si>
  <si>
    <t>TSK-0419</t>
  </si>
  <si>
    <t>TSK-0420</t>
  </si>
  <si>
    <t>TSK-0421</t>
  </si>
  <si>
    <t>Configuration Task 15</t>
  </si>
  <si>
    <t>TSK-0422</t>
  </si>
  <si>
    <t>Execution Task 15</t>
  </si>
  <si>
    <t>TSK-0423</t>
  </si>
  <si>
    <t>Testing Task 15</t>
  </si>
  <si>
    <t>TSK-0424</t>
  </si>
  <si>
    <t>Training Task 15</t>
  </si>
  <si>
    <t>TSK-0425</t>
  </si>
  <si>
    <t>Launch Task 15</t>
  </si>
  <si>
    <t>TSK-0426</t>
  </si>
  <si>
    <t>Closeout Task 15</t>
  </si>
  <si>
    <t>TSK-0427</t>
  </si>
  <si>
    <t>Discovery Task 15</t>
  </si>
  <si>
    <t>TSK-0428</t>
  </si>
  <si>
    <t>Planning Task 15</t>
  </si>
  <si>
    <t>TSK-0429</t>
  </si>
  <si>
    <t>Requirements Task 15</t>
  </si>
  <si>
    <t>TSK-0430</t>
  </si>
  <si>
    <t>TSK-0431</t>
  </si>
  <si>
    <t>TSK-0432</t>
  </si>
  <si>
    <t>TSK-0433</t>
  </si>
  <si>
    <t>TSK-0434</t>
  </si>
  <si>
    <t>TSK-0435</t>
  </si>
  <si>
    <t>TSK-0436</t>
  </si>
  <si>
    <t>TSK-0437</t>
  </si>
  <si>
    <t>TSK-0438</t>
  </si>
  <si>
    <t>TSK-0439</t>
  </si>
  <si>
    <t>TSK-0440</t>
  </si>
  <si>
    <t>TSK-0441</t>
  </si>
  <si>
    <t>TSK-0442</t>
  </si>
  <si>
    <t>TSK-0443</t>
  </si>
  <si>
    <t>TSK-0444</t>
  </si>
  <si>
    <t>TSK-0445</t>
  </si>
  <si>
    <t>TSK-0446</t>
  </si>
  <si>
    <t>TSK-0447</t>
  </si>
  <si>
    <t>TSK-0448</t>
  </si>
  <si>
    <t>TSK-0449</t>
  </si>
  <si>
    <t>TSK-0450</t>
  </si>
  <si>
    <t>TSK-0451</t>
  </si>
  <si>
    <t>Launch Task 16</t>
  </si>
  <si>
    <t>TSK-0452</t>
  </si>
  <si>
    <t>Closeout Task 16</t>
  </si>
  <si>
    <t>TSK-0453</t>
  </si>
  <si>
    <t>Discovery Task 16</t>
  </si>
  <si>
    <t>TSK-0454</t>
  </si>
  <si>
    <t>Planning Task 16</t>
  </si>
  <si>
    <t>TSK-0455</t>
  </si>
  <si>
    <t>Requirements Task 16</t>
  </si>
  <si>
    <t>TSK-0456</t>
  </si>
  <si>
    <t>Configuration Task 16</t>
  </si>
  <si>
    <t>TSK-0457</t>
  </si>
  <si>
    <t>Execution Task 16</t>
  </si>
  <si>
    <t>TSK-0458</t>
  </si>
  <si>
    <t>Testing Task 16</t>
  </si>
  <si>
    <t>TSK-0459</t>
  </si>
  <si>
    <t>Training Task 16</t>
  </si>
  <si>
    <t>TSK-0460</t>
  </si>
  <si>
    <t>TSK-0461</t>
  </si>
  <si>
    <t>TSK-0462</t>
  </si>
  <si>
    <t>TSK-0463</t>
  </si>
  <si>
    <t>TSK-0464</t>
  </si>
  <si>
    <t>TSK-0465</t>
  </si>
  <si>
    <t>TSK-0466</t>
  </si>
  <si>
    <t>TSK-0467</t>
  </si>
  <si>
    <t>TSK-0468</t>
  </si>
  <si>
    <t>TSK-0469</t>
  </si>
  <si>
    <t>TSK-0470</t>
  </si>
  <si>
    <t>TSK-0471</t>
  </si>
  <si>
    <t>TSK-0472</t>
  </si>
  <si>
    <t>TSK-0473</t>
  </si>
  <si>
    <t>TSK-0474</t>
  </si>
  <si>
    <t>TSK-0475</t>
  </si>
  <si>
    <t>TSK-0476</t>
  </si>
  <si>
    <t>TSK-0477</t>
  </si>
  <si>
    <t>TSK-0478</t>
  </si>
  <si>
    <t>TSK-0479</t>
  </si>
  <si>
    <t>TSK-0480</t>
  </si>
  <si>
    <t>TSK-0481</t>
  </si>
  <si>
    <t>Requirements Task 17</t>
  </si>
  <si>
    <t>TSK-0482</t>
  </si>
  <si>
    <t>Configuration Task 17</t>
  </si>
  <si>
    <t>TSK-0483</t>
  </si>
  <si>
    <t>Execution Task 17</t>
  </si>
  <si>
    <t>TSK-0484</t>
  </si>
  <si>
    <t>Testing Task 17</t>
  </si>
  <si>
    <t>TSK-0485</t>
  </si>
  <si>
    <t>Training Task 17</t>
  </si>
  <si>
    <t>TSK-0486</t>
  </si>
  <si>
    <t>Launch Task 17</t>
  </si>
  <si>
    <t>TSK-0487</t>
  </si>
  <si>
    <t>Closeout Task 17</t>
  </si>
  <si>
    <t>TSK-0488</t>
  </si>
  <si>
    <t>Discovery Task 17</t>
  </si>
  <si>
    <t>TSK-0489</t>
  </si>
  <si>
    <t>Planning Task 17</t>
  </si>
  <si>
    <t>TSK-0490</t>
  </si>
  <si>
    <t>TSK-0491</t>
  </si>
  <si>
    <t>TSK-0492</t>
  </si>
  <si>
    <t>TSK-0493</t>
  </si>
  <si>
    <t>TSK-0494</t>
  </si>
  <si>
    <t>TSK-0495</t>
  </si>
  <si>
    <t>TSK-0496</t>
  </si>
  <si>
    <t>TSK-0497</t>
  </si>
  <si>
    <t>TSK-0498</t>
  </si>
  <si>
    <t>TSK-0499</t>
  </si>
  <si>
    <t>TSK-0500</t>
  </si>
  <si>
    <t>TSK-0501</t>
  </si>
  <si>
    <t>TSK-0502</t>
  </si>
  <si>
    <t>TSK-0503</t>
  </si>
  <si>
    <t>TSK-0504</t>
  </si>
  <si>
    <t>TSK-0505</t>
  </si>
  <si>
    <t>TSK-0506</t>
  </si>
  <si>
    <t>TSK-0507</t>
  </si>
  <si>
    <t>TSK-0508</t>
  </si>
  <si>
    <t>TSK-0509</t>
  </si>
  <si>
    <t>TSK-0510</t>
  </si>
  <si>
    <t>TSK-0511</t>
  </si>
  <si>
    <t>Training Task 18</t>
  </si>
  <si>
    <t>TSK-0512</t>
  </si>
  <si>
    <t>Launch Task 18</t>
  </si>
  <si>
    <t>TSK-0513</t>
  </si>
  <si>
    <t>Closeout Task 18</t>
  </si>
  <si>
    <t>TSK-0514</t>
  </si>
  <si>
    <t>Discovery Task 18</t>
  </si>
  <si>
    <t>TSK-0515</t>
  </si>
  <si>
    <t>Planning Task 18</t>
  </si>
  <si>
    <t>TSK-0516</t>
  </si>
  <si>
    <t>Requirements Task 18</t>
  </si>
  <si>
    <t>TSK-0517</t>
  </si>
  <si>
    <t>Configuration Task 18</t>
  </si>
  <si>
    <t>TSK-0518</t>
  </si>
  <si>
    <t>Execution Task 18</t>
  </si>
  <si>
    <t>TSK-0519</t>
  </si>
  <si>
    <t>Testing Task 18</t>
  </si>
  <si>
    <t>TSK-0520</t>
  </si>
  <si>
    <t>TSK-0521</t>
  </si>
  <si>
    <t>TSK-0522</t>
  </si>
  <si>
    <t>TSK-0523</t>
  </si>
  <si>
    <t>TSK-0524</t>
  </si>
  <si>
    <t>TSK-0525</t>
  </si>
  <si>
    <t>TSK-0526</t>
  </si>
  <si>
    <t>TSK-0527</t>
  </si>
  <si>
    <t>TSK-0528</t>
  </si>
  <si>
    <t>TSK-0529</t>
  </si>
  <si>
    <t>TSK-0530</t>
  </si>
  <si>
    <t>TSK-0531</t>
  </si>
  <si>
    <t>TSK-0532</t>
  </si>
  <si>
    <t>TSK-0533</t>
  </si>
  <si>
    <t>TSK-0534</t>
  </si>
  <si>
    <t>TSK-0535</t>
  </si>
  <si>
    <t>TSK-0536</t>
  </si>
  <si>
    <t>TSK-0537</t>
  </si>
  <si>
    <t>TSK-0538</t>
  </si>
  <si>
    <t>TSK-0539</t>
  </si>
  <si>
    <t>TSK-0540</t>
  </si>
  <si>
    <t>TSK-0541</t>
  </si>
  <si>
    <t>Planning Task 19</t>
  </si>
  <si>
    <t>TSK-0542</t>
  </si>
  <si>
    <t>Requirements Task 19</t>
  </si>
  <si>
    <t>TSK-0543</t>
  </si>
  <si>
    <t>Configuration Task 19</t>
  </si>
  <si>
    <t>TSK-0544</t>
  </si>
  <si>
    <t>Execution Task 19</t>
  </si>
  <si>
    <t>TSK-0545</t>
  </si>
  <si>
    <t>Testing Task 19</t>
  </si>
  <si>
    <t>TSK-0546</t>
  </si>
  <si>
    <t>Training Task 19</t>
  </si>
  <si>
    <t>TSK-0547</t>
  </si>
  <si>
    <t>Launch Task 19</t>
  </si>
  <si>
    <t>TSK-0548</t>
  </si>
  <si>
    <t>Closeout Task 19</t>
  </si>
  <si>
    <t>TSK-0549</t>
  </si>
  <si>
    <t>Discovery Task 19</t>
  </si>
  <si>
    <t>TSK-0550</t>
  </si>
  <si>
    <t>TSK-0551</t>
  </si>
  <si>
    <t>TSK-0552</t>
  </si>
  <si>
    <t>TSK-0553</t>
  </si>
  <si>
    <t>TSK-0554</t>
  </si>
  <si>
    <t>TSK-0555</t>
  </si>
  <si>
    <t>TSK-0556</t>
  </si>
  <si>
    <t>TSK-0557</t>
  </si>
  <si>
    <t>TSK-0558</t>
  </si>
  <si>
    <t>TSK-0559</t>
  </si>
  <si>
    <t>TSK-0560</t>
  </si>
  <si>
    <t>TSK-0561</t>
  </si>
  <si>
    <t>TSK-0562</t>
  </si>
  <si>
    <t>TSK-0563</t>
  </si>
  <si>
    <t>TSK-0564</t>
  </si>
  <si>
    <t>TSK-0565</t>
  </si>
  <si>
    <t>TSK-0566</t>
  </si>
  <si>
    <t>TSK-0567</t>
  </si>
  <si>
    <t>TSK-0568</t>
  </si>
  <si>
    <t>TSK-0569</t>
  </si>
  <si>
    <t>TSK-0570</t>
  </si>
  <si>
    <t>TSK-0571</t>
  </si>
  <si>
    <t>Testing Task 20</t>
  </si>
  <si>
    <t>TSK-0572</t>
  </si>
  <si>
    <t>Training Task 20</t>
  </si>
  <si>
    <t>TSK-0573</t>
  </si>
  <si>
    <t>Launch Task 20</t>
  </si>
  <si>
    <t>TSK-0574</t>
  </si>
  <si>
    <t>Closeout Task 20</t>
  </si>
  <si>
    <t>TSK-0575</t>
  </si>
  <si>
    <t>Discovery Task 20</t>
  </si>
  <si>
    <t>TSK-0576</t>
  </si>
  <si>
    <t>Planning Task 20</t>
  </si>
  <si>
    <t>TSK-0577</t>
  </si>
  <si>
    <t>Requirements Task 20</t>
  </si>
  <si>
    <t>TSK-0578</t>
  </si>
  <si>
    <t>Configuration Task 20</t>
  </si>
  <si>
    <t>TSK-0579</t>
  </si>
  <si>
    <t>Execution Task 20</t>
  </si>
  <si>
    <t>TSK-0580</t>
  </si>
  <si>
    <t>TSK-0581</t>
  </si>
  <si>
    <t>TSK-0582</t>
  </si>
  <si>
    <t>TSK-0583</t>
  </si>
  <si>
    <t>TSK-0584</t>
  </si>
  <si>
    <t>TSK-0585</t>
  </si>
  <si>
    <t>TSK-0586</t>
  </si>
  <si>
    <t>TSK-0587</t>
  </si>
  <si>
    <t>TSK-0588</t>
  </si>
  <si>
    <t>TSK-0589</t>
  </si>
  <si>
    <t>TSK-0590</t>
  </si>
  <si>
    <t>TSK-0591</t>
  </si>
  <si>
    <t>TSK-0592</t>
  </si>
  <si>
    <t>TSK-0593</t>
  </si>
  <si>
    <t>TSK-0594</t>
  </si>
  <si>
    <t>TSK-0595</t>
  </si>
  <si>
    <t>TSK-0596</t>
  </si>
  <si>
    <t>TSK-0597</t>
  </si>
  <si>
    <t>TSK-0598</t>
  </si>
  <si>
    <t>TSK-0599</t>
  </si>
  <si>
    <t>TSK-0600</t>
  </si>
  <si>
    <t>TSK-0601</t>
  </si>
  <si>
    <t>Discovery Task 21</t>
  </si>
  <si>
    <t>TSK-0602</t>
  </si>
  <si>
    <t>Planning Task 21</t>
  </si>
  <si>
    <t>TSK-0603</t>
  </si>
  <si>
    <t>Requirements Task 21</t>
  </si>
  <si>
    <t>TSK-0604</t>
  </si>
  <si>
    <t>Configuration Task 21</t>
  </si>
  <si>
    <t>TSK-0605</t>
  </si>
  <si>
    <t>Execution Task 21</t>
  </si>
  <si>
    <t>TSK-0606</t>
  </si>
  <si>
    <t>Testing Task 21</t>
  </si>
  <si>
    <t>TSK-0607</t>
  </si>
  <si>
    <t>Training Task 21</t>
  </si>
  <si>
    <t>TSK-0608</t>
  </si>
  <si>
    <t>Launch Task 21</t>
  </si>
  <si>
    <t>TSK-0609</t>
  </si>
  <si>
    <t>Closeout Task 21</t>
  </si>
  <si>
    <t>TSK-0610</t>
  </si>
  <si>
    <t>TSK-0611</t>
  </si>
  <si>
    <t>TSK-0612</t>
  </si>
  <si>
    <t>TSK-0613</t>
  </si>
  <si>
    <t>TSK-0614</t>
  </si>
  <si>
    <t>TSK-0615</t>
  </si>
  <si>
    <t>TSK-0616</t>
  </si>
  <si>
    <t>TSK-0617</t>
  </si>
  <si>
    <t>TSK-0618</t>
  </si>
  <si>
    <t>TSK-0619</t>
  </si>
  <si>
    <t>TSK-0620</t>
  </si>
  <si>
    <t>TSK-0621</t>
  </si>
  <si>
    <t>TSK-0622</t>
  </si>
  <si>
    <t>TSK-0623</t>
  </si>
  <si>
    <t>TSK-0624</t>
  </si>
  <si>
    <t>TSK-0625</t>
  </si>
  <si>
    <t>TSK-0626</t>
  </si>
  <si>
    <t>TSK-0627</t>
  </si>
  <si>
    <t>TSK-0628</t>
  </si>
  <si>
    <t>TSK-0629</t>
  </si>
  <si>
    <t>TSK-0630</t>
  </si>
  <si>
    <t>TSK-0631</t>
  </si>
  <si>
    <t>Execution Task 22</t>
  </si>
  <si>
    <t>TSK-0632</t>
  </si>
  <si>
    <t>Testing Task 22</t>
  </si>
  <si>
    <t>TSK-0633</t>
  </si>
  <si>
    <t>Training Task 22</t>
  </si>
  <si>
    <t>TSK-0634</t>
  </si>
  <si>
    <t>Launch Task 22</t>
  </si>
  <si>
    <t>TSK-0635</t>
  </si>
  <si>
    <t>Closeout Task 22</t>
  </si>
  <si>
    <t>TSK-0636</t>
  </si>
  <si>
    <t>Discovery Task 22</t>
  </si>
  <si>
    <t>TSK-0637</t>
  </si>
  <si>
    <t>Planning Task 22</t>
  </si>
  <si>
    <t>TSK-0638</t>
  </si>
  <si>
    <t>Requirements Task 22</t>
  </si>
  <si>
    <t>TSK-0639</t>
  </si>
  <si>
    <t>Configuration Task 22</t>
  </si>
  <si>
    <t>TSK-0640</t>
  </si>
  <si>
    <t>TSK-0641</t>
  </si>
  <si>
    <t>TSK-0642</t>
  </si>
  <si>
    <t>TSK-0643</t>
  </si>
  <si>
    <t>TSK-0644</t>
  </si>
  <si>
    <t>TSK-0645</t>
  </si>
  <si>
    <t>TSK-0646</t>
  </si>
  <si>
    <t>TSK-0647</t>
  </si>
  <si>
    <t>TSK-0648</t>
  </si>
  <si>
    <t>TSK-0649</t>
  </si>
  <si>
    <t>TSK-0650</t>
  </si>
  <si>
    <t>TSK-0651</t>
  </si>
  <si>
    <t>TSK-0652</t>
  </si>
  <si>
    <t>TSK-0653</t>
  </si>
  <si>
    <t>TSK-0654</t>
  </si>
  <si>
    <t>TSK-0655</t>
  </si>
  <si>
    <t>TSK-0656</t>
  </si>
  <si>
    <t>TSK-0657</t>
  </si>
  <si>
    <t>TSK-0658</t>
  </si>
  <si>
    <t>TSK-0659</t>
  </si>
  <si>
    <t>TSK-0660</t>
  </si>
  <si>
    <t>TSK-0661</t>
  </si>
  <si>
    <t>Closeout Task 23</t>
  </si>
  <si>
    <t>TSK-0662</t>
  </si>
  <si>
    <t>Discovery Task 23</t>
  </si>
  <si>
    <t>TSK-0663</t>
  </si>
  <si>
    <t>Planning Task 23</t>
  </si>
  <si>
    <t>TSK-0664</t>
  </si>
  <si>
    <t>Requirements Task 23</t>
  </si>
  <si>
    <t>TSK-0665</t>
  </si>
  <si>
    <t>Configuration Task 23</t>
  </si>
  <si>
    <t>TSK-0666</t>
  </si>
  <si>
    <t>Execution Task 23</t>
  </si>
  <si>
    <t>TSK-0667</t>
  </si>
  <si>
    <t>Testing Task 23</t>
  </si>
  <si>
    <t>TSK-0668</t>
  </si>
  <si>
    <t>Training Task 23</t>
  </si>
  <si>
    <t>TSK-0669</t>
  </si>
  <si>
    <t>Launch Task 23</t>
  </si>
  <si>
    <t>TSK-0670</t>
  </si>
  <si>
    <t>TSK-0671</t>
  </si>
  <si>
    <t>TSK-0672</t>
  </si>
  <si>
    <t>TSK-0673</t>
  </si>
  <si>
    <t>TSK-0674</t>
  </si>
  <si>
    <t>TSK-0675</t>
  </si>
  <si>
    <t>TSK-0676</t>
  </si>
  <si>
    <t>TSK-0677</t>
  </si>
  <si>
    <t>TSK-0678</t>
  </si>
  <si>
    <t>TSK-0679</t>
  </si>
  <si>
    <t>TSK-0680</t>
  </si>
  <si>
    <t>TSK-0681</t>
  </si>
  <si>
    <t>TSK-0682</t>
  </si>
  <si>
    <t>TSK-0683</t>
  </si>
  <si>
    <t>TSK-0684</t>
  </si>
  <si>
    <t>TSK-0685</t>
  </si>
  <si>
    <t>TSK-0686</t>
  </si>
  <si>
    <t>TSK-0687</t>
  </si>
  <si>
    <t>TSK-0688</t>
  </si>
  <si>
    <t>TSK-0689</t>
  </si>
  <si>
    <t>TSK-0690</t>
  </si>
  <si>
    <t>TSK-0691</t>
  </si>
  <si>
    <t>Configuration Task 24</t>
  </si>
  <si>
    <t>TSK-0692</t>
  </si>
  <si>
    <t>Execution Task 24</t>
  </si>
  <si>
    <t>TSK-0693</t>
  </si>
  <si>
    <t>Testing Task 24</t>
  </si>
  <si>
    <t>TSK-0694</t>
  </si>
  <si>
    <t>Training Task 24</t>
  </si>
  <si>
    <t>TSK-0695</t>
  </si>
  <si>
    <t>Launch Task 24</t>
  </si>
  <si>
    <t>TSK-0696</t>
  </si>
  <si>
    <t>Closeout Task 24</t>
  </si>
  <si>
    <t>TSK-0697</t>
  </si>
  <si>
    <t>Discovery Task 24</t>
  </si>
  <si>
    <t>TSK-0698</t>
  </si>
  <si>
    <t>Planning Task 24</t>
  </si>
  <si>
    <t>TSK-0699</t>
  </si>
  <si>
    <t>Requirements Task 24</t>
  </si>
  <si>
    <t>TSK-0700</t>
  </si>
  <si>
    <t>TSK-0701</t>
  </si>
  <si>
    <t>TSK-0702</t>
  </si>
  <si>
    <t>TSK-0703</t>
  </si>
  <si>
    <t>TSK-0704</t>
  </si>
  <si>
    <t>TSK-0705</t>
  </si>
  <si>
    <t>TSK-0706</t>
  </si>
  <si>
    <t>TSK-0707</t>
  </si>
  <si>
    <t>TSK-0708</t>
  </si>
  <si>
    <t>TSK-0709</t>
  </si>
  <si>
    <t>TSK-0710</t>
  </si>
  <si>
    <t>TSK-0711</t>
  </si>
  <si>
    <t>TSK-0712</t>
  </si>
  <si>
    <t>TSK-0713</t>
  </si>
  <si>
    <t>TSK-0714</t>
  </si>
  <si>
    <t>TSK-0715</t>
  </si>
  <si>
    <t>TSK-0716</t>
  </si>
  <si>
    <t>TSK-0717</t>
  </si>
  <si>
    <t>TSK-0718</t>
  </si>
  <si>
    <t>TSK-0719</t>
  </si>
  <si>
    <t>TSK-0720</t>
  </si>
  <si>
    <t>TSK-0721</t>
  </si>
  <si>
    <t>Launch Task 25</t>
  </si>
  <si>
    <t>TSK-0722</t>
  </si>
  <si>
    <t>Closeout Task 25</t>
  </si>
  <si>
    <t>TSK-0723</t>
  </si>
  <si>
    <t>Discovery Task 25</t>
  </si>
  <si>
    <t>TSK-0724</t>
  </si>
  <si>
    <t>Planning Task 25</t>
  </si>
  <si>
    <t>TSK-0725</t>
  </si>
  <si>
    <t>Requirements Task 25</t>
  </si>
  <si>
    <t>TSK-0726</t>
  </si>
  <si>
    <t>Configuration Task 25</t>
  </si>
  <si>
    <t>TSK-0727</t>
  </si>
  <si>
    <t>Execution Task 25</t>
  </si>
  <si>
    <t>TSK-0728</t>
  </si>
  <si>
    <t>Testing Task 25</t>
  </si>
  <si>
    <t>TSK-0729</t>
  </si>
  <si>
    <t>Training Task 25</t>
  </si>
  <si>
    <t>TSK-0730</t>
  </si>
  <si>
    <t>TSK-0731</t>
  </si>
  <si>
    <t>TSK-0732</t>
  </si>
  <si>
    <t>TSK-0733</t>
  </si>
  <si>
    <t>TSK-0734</t>
  </si>
  <si>
    <t>TSK-0735</t>
  </si>
  <si>
    <t>TSK-0736</t>
  </si>
  <si>
    <t>TSK-0737</t>
  </si>
  <si>
    <t>TSK-0738</t>
  </si>
  <si>
    <t>TSK-0739</t>
  </si>
  <si>
    <t>TSK-0740</t>
  </si>
  <si>
    <t>TSK-0741</t>
  </si>
  <si>
    <t>TSK-0742</t>
  </si>
  <si>
    <t>TSK-0743</t>
  </si>
  <si>
    <t>TSK-0744</t>
  </si>
  <si>
    <t>TSK-0745</t>
  </si>
  <si>
    <t>TSK-0746</t>
  </si>
  <si>
    <t>TSK-0747</t>
  </si>
  <si>
    <t>TSK-0748</t>
  </si>
  <si>
    <t>TSK-0749</t>
  </si>
  <si>
    <t>TSK-0750</t>
  </si>
  <si>
    <t>Row Labels</t>
  </si>
  <si>
    <t>Grand Total</t>
  </si>
  <si>
    <t>Column Labels</t>
  </si>
  <si>
    <t>Count of Task ID</t>
  </si>
  <si>
    <t>Active Workload</t>
  </si>
  <si>
    <t>Days Delayed</t>
  </si>
  <si>
    <t>Sum of Days Delayed</t>
  </si>
  <si>
    <t>Unique Project Flag</t>
  </si>
  <si>
    <t>Sum of Unique Project Flag</t>
  </si>
  <si>
    <t>Sum of Issue Count</t>
  </si>
  <si>
    <t>Budget Variance</t>
  </si>
  <si>
    <t>Sum of Budget Variance</t>
  </si>
  <si>
    <t>Completed Tasks</t>
  </si>
  <si>
    <t>Total Tasks</t>
  </si>
  <si>
    <t>On Hold Tasks</t>
  </si>
  <si>
    <t>Project Status</t>
  </si>
  <si>
    <t>Analysis Date</t>
  </si>
  <si>
    <t>Target Status</t>
  </si>
  <si>
    <t>On Track</t>
  </si>
  <si>
    <t>At Risk</t>
  </si>
  <si>
    <t>Delayed</t>
  </si>
  <si>
    <t xml:space="preserve"> </t>
  </si>
  <si>
    <t>Active Projects</t>
  </si>
  <si>
    <t>OPERATIONS PROJECT PORTFOLIO DASHBOARD</t>
  </si>
  <si>
    <t>REPORTING DATE: AUGUST 11, 2026</t>
  </si>
  <si>
    <t>Total Projects</t>
  </si>
  <si>
    <t>Completed Projects</t>
  </si>
  <si>
    <t>Unfinished Tasks</t>
  </si>
  <si>
    <t>Count</t>
  </si>
  <si>
    <t>High-Risk Tasks</t>
  </si>
  <si>
    <t>Cumulative Delay Days</t>
  </si>
  <si>
    <t>Key Insights</t>
  </si>
  <si>
    <r>
      <rPr>
        <b/>
        <sz val="11"/>
        <rFont val="Carlito"/>
      </rPr>
      <t>Portfolio Health:</t>
    </r>
    <r>
      <rPr>
        <sz val="11"/>
        <rFont val="Carlito"/>
      </rPr>
      <t xml:space="preserve"> 22 of 30 projects remain active beyond their planned finish dates, while 8 projects are completed.
</t>
    </r>
    <r>
      <rPr>
        <b/>
        <sz val="11"/>
        <rFont val="Carlito"/>
      </rPr>
      <t>Workload:</t>
    </r>
    <r>
      <rPr>
        <sz val="11"/>
        <rFont val="Carlito"/>
      </rPr>
      <t xml:space="preserve"> Taylor Reed carries the largest unfinished workload with 58 tasks, closely followed by Morgan Patel (57) and Cameron Diaz (56).
</t>
    </r>
    <r>
      <rPr>
        <b/>
        <sz val="11"/>
        <rFont val="Carlito"/>
      </rPr>
      <t>Risk:</t>
    </r>
    <r>
      <rPr>
        <sz val="11"/>
        <rFont val="Carlito"/>
      </rPr>
      <t xml:space="preserve"> Technology has the highest concentration of high-risk work at 19.2% (24 of 125 tasks), followed closely by Facilities at 19.0%.
</t>
    </r>
    <r>
      <rPr>
        <b/>
        <sz val="11"/>
        <rFont val="Carlito"/>
      </rPr>
      <t>Performance:</t>
    </r>
    <r>
      <rPr>
        <sz val="11"/>
        <rFont val="Carlito"/>
      </rPr>
      <t xml:space="preserve"> Human Resources has the strongest schedule/budget balance with the lowest cumulative delay (129 days) while maintaining approximately $453K in favorable budget variance. Technology has the greatest schedule pressure at 318 cumulative delay days.</t>
    </r>
  </si>
  <si>
    <t>Portfolio Project | Excel Operations &amp; Project Management Analytics</t>
  </si>
  <si>
    <t>A growing organization manages a portfolio of 30 cross-functional projects spanning Operations, Technology, Finance, Human Resources, Marketing, Procurement, and Facilities. Leadership needs a clear view of portfolio health, schedule performance, workload, budget variance, and operational risk.</t>
  </si>
  <si>
    <t>Business Questions</t>
  </si>
  <si>
    <t>Analyzed 750 task-level records using Excel PivotTables, calculated fields, formulas, project-level status logic, aggregations, and comparative analysis. Findings were consolidated into an executive dashboard designed to surface portfolio health, workload, risk, and schedule performance.</t>
  </si>
  <si>
    <t>Analysis Approach</t>
  </si>
  <si>
    <t>Deliverable</t>
  </si>
  <si>
    <t>Interactive Excel workbook containing an executive portfolio dashboard, project health analysis, project manager workload analysis, department-level risk and budget analysis, schedule performance analysis, and supporting PivotTables.</t>
  </si>
  <si>
    <t>Skills Demonstrated</t>
  </si>
  <si>
    <t>Microsoft Excel • PivotTables • Data Analysis • Dashboard Design • KPI Development • Data Visualization • Conditional Logic • Budget Variance Analysis • Schedule Analysis • Risk Analysis • Project Portfolio Reporting • Executive Communication</t>
  </si>
  <si>
    <t>1. How many projects are completed, active, delayed, or at risk?
2. Which departments and projects are over or under budget?
3. Which projects and departments experience the largest schedule delays?
4. How is active workload distributed across project managers?
5. Where are high-risk tasks concentrated?
6. Which functions demonstrate the strongest schedule and budget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</si>
</sst>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yy"/>
    <numFmt numFmtId="165" formatCode="\$#,##0.00"/>
  </numFmts>
  <fonts count="12">
    <font>
      <sz val="11"/>
      <name val="Carlito"/>
    </font>
    <font>
      <b/>
      <sz val="16"/>
      <color rgb="FFFFFFFF"/>
      <name val="Carlito"/>
    </font>
    <font>
      <b/>
      <sz val="11"/>
      <color rgb="FF1F1F1F"/>
      <name val="Carlito"/>
    </font>
    <font>
      <b/>
      <sz val="11"/>
      <name val="Carlito"/>
    </font>
    <font>
      <b/>
      <sz val="11"/>
      <color rgb="FFFFFFFF"/>
      <name val="Carlito"/>
    </font>
    <font>
      <sz val="11"/>
      <color theme="1"/>
      <name val="Carlito"/>
    </font>
    <font>
      <sz val="10"/>
      <name val="Arial Unicode MS"/>
      <family val="2"/>
    </font>
    <font>
      <b/>
      <sz val="24"/>
      <name val="Carlito"/>
    </font>
    <font>
      <sz val="12"/>
      <name val="Carlito"/>
    </font>
    <font>
      <b/>
      <sz val="28"/>
      <name val="Carlito"/>
    </font>
    <font>
      <sz val="11"/>
      <color theme="0"/>
      <name val="Carlito"/>
    </font>
    <font>
      <b/>
      <sz val="10"/>
      <color rgb="FF1F1F1F"/>
      <name val="Carlito"/>
    </font>
  </fonts>
  <fills count="7">
    <fill>
      <patternFill patternType="none"/>
    </fill>
    <fill>
      <patternFill patternType="gray125"/>
    </fill>
    <fill>
      <patternFill patternType="solid">
        <fgColor rgb="FF1F4E78"/>
      </patternFill>
    </fill>
    <fill>
      <patternFill patternType="solid">
        <fgColor rgb="FFD9EAF7"/>
      </patternFill>
    </fill>
    <fill>
      <patternFill patternType="solid">
        <fgColor rgb="FFEAF2F8"/>
      </patternFill>
    </fill>
    <fill>
      <patternFill patternType="solid">
        <fgColor theme="4" tint="0.79998168889431442"/>
        <bgColor theme="4" tint="0.79998168889431442"/>
      </patternFill>
    </fill>
    <fill>
      <patternFill patternType="solid">
        <fgColor theme="3" tint="0.89999084444715716"/>
        <bgColor indexed="64"/>
      </patternFill>
    </fill>
  </fills>
  <borders count="11">
    <border>
      <left/>
      <right/>
      <top/>
      <bottom/>
      <diagonal/>
    </border>
    <border>
      <left/>
      <right/>
      <top/>
      <bottom/>
      <diagonal/>
    </border>
    <border>
      <left/>
      <right/>
      <top style="thin">
        <color theme="4" tint="0.39997558519241921"/>
      </top>
      <bottom style="thin">
        <color theme="4" tint="0.3999755851924192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39">
    <xf numFmtId="0" fontId="0" fillId="0" borderId="0" xfId="0"/>
    <xf numFmtId="0" fontId="2" fillId="3" borderId="0" xfId="0" applyFont="1" applyFill="1" applyAlignment="1">
      <alignment horizontal="center" wrapText="1"/>
    </xf>
    <xf numFmtId="0" fontId="3" fillId="4" borderId="0" xfId="0" applyFont="1" applyFill="1" applyAlignment="1">
      <alignment wrapText="1"/>
    </xf>
    <xf numFmtId="0" fontId="0" fillId="0" borderId="0" xfId="0" applyAlignment="1">
      <alignment wrapText="1"/>
    </xf>
    <xf numFmtId="164" fontId="0" fillId="0" borderId="0" xfId="0" applyNumberFormat="1"/>
    <xf numFmtId="9" fontId="0" fillId="0" borderId="0" xfId="0" applyNumberFormat="1"/>
    <xf numFmtId="165" fontId="0" fillId="0" borderId="0" xfId="0" applyNumberFormat="1"/>
    <xf numFmtId="0" fontId="4" fillId="2" borderId="0" xfId="0" applyFont="1" applyFill="1" applyAlignment="1">
      <alignment horizontal="center" vertical="center"/>
    </xf>
    <xf numFmtId="0" fontId="1" fillId="2" borderId="0" xfId="0" applyFont="1" applyFill="1" applyAlignment="1">
      <alignment horizontal="center" vertical="center" wrapText="1"/>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4" fontId="0" fillId="0" borderId="0" xfId="0" applyNumberFormat="1"/>
    <xf numFmtId="0" fontId="0" fillId="0" borderId="0" xfId="0" applyAlignment="1">
      <alignment horizontal="center"/>
    </xf>
    <xf numFmtId="0" fontId="6" fillId="0" borderId="0" xfId="0" applyFont="1"/>
    <xf numFmtId="14" fontId="0" fillId="0" borderId="0" xfId="0" applyNumberFormat="1"/>
    <xf numFmtId="14" fontId="0" fillId="0" borderId="0" xfId="0" applyNumberFormat="1" applyAlignment="1">
      <alignment horizontal="center"/>
    </xf>
    <xf numFmtId="0" fontId="5" fillId="5" borderId="2" xfId="0" applyFont="1" applyFill="1" applyBorder="1" applyAlignment="1">
      <alignment horizontal="center"/>
    </xf>
    <xf numFmtId="0" fontId="6" fillId="0" borderId="0" xfId="0" applyFont="1" applyAlignment="1">
      <alignment horizontal="center"/>
    </xf>
    <xf numFmtId="0" fontId="5" fillId="0" borderId="2" xfId="0" applyFont="1" applyBorder="1" applyAlignment="1">
      <alignment horizontal="center"/>
    </xf>
    <xf numFmtId="0" fontId="0" fillId="0" borderId="0" xfId="0" applyAlignment="1">
      <alignment horizontal="center"/>
    </xf>
    <xf numFmtId="0" fontId="7" fillId="0" borderId="0" xfId="0" applyFont="1" applyAlignment="1">
      <alignment horizontal="center"/>
    </xf>
    <xf numFmtId="0" fontId="8" fillId="0" borderId="0" xfId="0" applyFont="1" applyAlignment="1">
      <alignment horizontal="center"/>
    </xf>
    <xf numFmtId="0" fontId="0" fillId="0" borderId="0" xfId="0" applyAlignment="1"/>
    <xf numFmtId="0" fontId="3" fillId="0" borderId="0" xfId="0" applyFont="1" applyAlignment="1">
      <alignment horizontal="center"/>
    </xf>
    <xf numFmtId="0" fontId="9" fillId="6" borderId="3" xfId="0" applyFont="1" applyFill="1" applyBorder="1" applyAlignment="1">
      <alignment horizontal="center"/>
    </xf>
    <xf numFmtId="0" fontId="9" fillId="6" borderId="4" xfId="0" applyFont="1" applyFill="1" applyBorder="1" applyAlignment="1">
      <alignment horizontal="center"/>
    </xf>
    <xf numFmtId="0" fontId="9" fillId="6" borderId="5" xfId="0" applyFont="1" applyFill="1" applyBorder="1" applyAlignment="1">
      <alignment horizontal="center"/>
    </xf>
    <xf numFmtId="0" fontId="9" fillId="6" borderId="6" xfId="0" applyFont="1" applyFill="1" applyBorder="1" applyAlignment="1">
      <alignment horizontal="center"/>
    </xf>
    <xf numFmtId="0" fontId="9" fillId="6" borderId="1" xfId="0" applyFont="1" applyFill="1" applyBorder="1" applyAlignment="1">
      <alignment horizontal="center"/>
    </xf>
    <xf numFmtId="0" fontId="9" fillId="6" borderId="7" xfId="0" applyFont="1" applyFill="1" applyBorder="1" applyAlignment="1">
      <alignment horizontal="center"/>
    </xf>
    <xf numFmtId="0" fontId="3" fillId="6" borderId="8" xfId="0" applyFont="1" applyFill="1" applyBorder="1" applyAlignment="1">
      <alignment horizontal="center"/>
    </xf>
    <xf numFmtId="0" fontId="3" fillId="6" borderId="9" xfId="0" applyFont="1" applyFill="1" applyBorder="1" applyAlignment="1">
      <alignment horizontal="center"/>
    </xf>
    <xf numFmtId="0" fontId="3" fillId="6" borderId="10" xfId="0" applyFont="1" applyFill="1" applyBorder="1" applyAlignment="1">
      <alignment horizontal="center"/>
    </xf>
    <xf numFmtId="0" fontId="0" fillId="0" borderId="0" xfId="0" applyFont="1" applyAlignment="1">
      <alignment horizontal="left" wrapText="1"/>
    </xf>
    <xf numFmtId="0" fontId="0" fillId="0" borderId="0" xfId="0" applyFont="1" applyAlignment="1">
      <alignment horizontal="left"/>
    </xf>
    <xf numFmtId="0" fontId="10" fillId="0" borderId="0" xfId="0" applyFont="1"/>
    <xf numFmtId="0" fontId="11" fillId="3" borderId="0" xfId="0" applyFont="1" applyFill="1" applyAlignment="1">
      <alignment horizontal="center" wrapText="1"/>
    </xf>
  </cellXfs>
  <cellStyles count="1">
    <cellStyle name="Normal" xfId="0" builtinId="0"/>
  </cellStyles>
  <dxfs count="6">
    <dxf>
      <fill>
        <patternFill patternType="solid">
          <bgColor rgb="FFFCE4D6"/>
        </patternFill>
      </fill>
    </dxf>
    <dxf>
      <fill>
        <patternFill patternType="solid">
          <bgColor rgb="FFF4CCCC"/>
        </patternFill>
      </fill>
    </dxf>
    <dxf>
      <font>
        <b/>
      </font>
      <fill>
        <patternFill patternType="solid">
          <bgColor rgb="FFF4CCCC"/>
        </patternFill>
      </fill>
    </dxf>
    <dxf>
      <numFmt numFmtId="4" formatCode="#,##0.00"/>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Project Portfolio Health</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'Executive Dashboard'!$O$2</c:f>
              <c:strCache>
                <c:ptCount val="1"/>
                <c:pt idx="0">
                  <c:v>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02F0-3E42-81CB-308B54DD622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02F0-3E42-81CB-308B54DD6221}"/>
              </c:ext>
            </c:extLst>
          </c:dPt>
          <c:dLbls>
            <c:dLbl>
              <c:idx val="0"/>
              <c:layout>
                <c:manualLayout>
                  <c:x val="0.16527777777777777"/>
                  <c:y val="1.620388597258671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3977777777777778"/>
                      <c:h val="5.5416666666666656E-2"/>
                    </c:manualLayout>
                  </c15:layout>
                </c:ext>
                <c:ext xmlns:c16="http://schemas.microsoft.com/office/drawing/2014/chart" uri="{C3380CC4-5D6E-409C-BE32-E72D297353CC}">
                  <c16:uniqueId val="{00000002-02F0-3E42-81CB-308B54DD6221}"/>
                </c:ext>
              </c:extLst>
            </c:dLbl>
            <c:dLbl>
              <c:idx val="1"/>
              <c:layout>
                <c:manualLayout>
                  <c:x val="-0.16111111111111115"/>
                  <c:y val="-0.30092592592592593"/>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2F0-3E42-81CB-308B54DD622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0"/>
            <c:extLst>
              <c:ext xmlns:c15="http://schemas.microsoft.com/office/drawing/2012/chart" uri="{CE6537A1-D6FC-4f65-9D91-7224C49458BB}"/>
            </c:extLst>
          </c:dLbls>
          <c:cat>
            <c:strRef>
              <c:f>'Executive Dashboard'!$N$3:$N$4</c:f>
              <c:strCache>
                <c:ptCount val="2"/>
                <c:pt idx="0">
                  <c:v>Completed</c:v>
                </c:pt>
                <c:pt idx="1">
                  <c:v>Delayed</c:v>
                </c:pt>
              </c:strCache>
            </c:strRef>
          </c:cat>
          <c:val>
            <c:numRef>
              <c:f>'Executive Dashboard'!$O$3:$O$4</c:f>
              <c:numCache>
                <c:formatCode>General</c:formatCode>
                <c:ptCount val="2"/>
                <c:pt idx="0">
                  <c:v>8</c:v>
                </c:pt>
                <c:pt idx="1">
                  <c:v>22</c:v>
                </c:pt>
              </c:numCache>
            </c:numRef>
          </c:val>
          <c:extLst>
            <c:ext xmlns:c16="http://schemas.microsoft.com/office/drawing/2014/chart" uri="{C3380CC4-5D6E-409C-BE32-E72D297353CC}">
              <c16:uniqueId val="{00000000-02F0-3E42-81CB-308B54DD6221}"/>
            </c:ext>
          </c:extLst>
        </c:ser>
        <c:dLbls>
          <c:showLegendKey val="0"/>
          <c:showVal val="0"/>
          <c:showCatName val="0"/>
          <c:showSerName val="0"/>
          <c:showPercent val="0"/>
          <c:showBubbleSize val="0"/>
          <c:showLeaderLines val="0"/>
        </c:dLbls>
        <c:firstSliceAng val="0"/>
        <c:holeSize val="6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Unfinished</a:t>
            </a:r>
            <a:r>
              <a:rPr lang="en-US" b="1" baseline="0"/>
              <a:t> Tasks by Project Manager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'Executive Dashboard'!$N$7:$N$12</c:f>
              <c:strCache>
                <c:ptCount val="6"/>
                <c:pt idx="0">
                  <c:v>Avery Brooks</c:v>
                </c:pt>
                <c:pt idx="1">
                  <c:v>Cameron Diaz</c:v>
                </c:pt>
                <c:pt idx="2">
                  <c:v>Jordan Lee</c:v>
                </c:pt>
                <c:pt idx="3">
                  <c:v>Morgan Patel</c:v>
                </c:pt>
                <c:pt idx="4">
                  <c:v>Riley Chen</c:v>
                </c:pt>
                <c:pt idx="5">
                  <c:v>Taylor Reed</c:v>
                </c:pt>
              </c:strCache>
            </c:strRef>
          </c:cat>
          <c:val>
            <c:numRef>
              <c:f>'Executive Dashboard'!$O$7:$O$12</c:f>
              <c:numCache>
                <c:formatCode>General</c:formatCode>
                <c:ptCount val="6"/>
                <c:pt idx="0">
                  <c:v>43</c:v>
                </c:pt>
                <c:pt idx="1">
                  <c:v>56</c:v>
                </c:pt>
                <c:pt idx="2">
                  <c:v>36</c:v>
                </c:pt>
                <c:pt idx="3">
                  <c:v>57</c:v>
                </c:pt>
                <c:pt idx="4">
                  <c:v>44</c:v>
                </c:pt>
                <c:pt idx="5">
                  <c:v>58</c:v>
                </c:pt>
              </c:numCache>
            </c:numRef>
          </c:val>
          <c:extLst>
            <c:ext xmlns:c16="http://schemas.microsoft.com/office/drawing/2014/chart" uri="{C3380CC4-5D6E-409C-BE32-E72D297353CC}">
              <c16:uniqueId val="{00000000-9EBC-E043-8A54-050886C7B381}"/>
            </c:ext>
          </c:extLst>
        </c:ser>
        <c:dLbls>
          <c:showLegendKey val="0"/>
          <c:showVal val="0"/>
          <c:showCatName val="0"/>
          <c:showSerName val="0"/>
          <c:showPercent val="0"/>
          <c:showBubbleSize val="0"/>
        </c:dLbls>
        <c:gapWidth val="182"/>
        <c:axId val="1438819263"/>
        <c:axId val="1464942815"/>
      </c:barChart>
      <c:catAx>
        <c:axId val="14388192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4942815"/>
        <c:crosses val="autoZero"/>
        <c:auto val="1"/>
        <c:lblAlgn val="ctr"/>
        <c:lblOffset val="100"/>
        <c:noMultiLvlLbl val="0"/>
      </c:catAx>
      <c:valAx>
        <c:axId val="14649428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881926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High</a:t>
            </a:r>
            <a:r>
              <a:rPr lang="en-US" b="1" baseline="0"/>
              <a:t>-Risk Tasks by Department</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'Executive Dashboard'!$Q$3:$Q$9</c:f>
              <c:strCache>
                <c:ptCount val="7"/>
                <c:pt idx="0">
                  <c:v>Facilities</c:v>
                </c:pt>
                <c:pt idx="1">
                  <c:v>Finance</c:v>
                </c:pt>
                <c:pt idx="2">
                  <c:v>Human Resources</c:v>
                </c:pt>
                <c:pt idx="3">
                  <c:v>Marketing</c:v>
                </c:pt>
                <c:pt idx="4">
                  <c:v>Operations</c:v>
                </c:pt>
                <c:pt idx="5">
                  <c:v>Procurement</c:v>
                </c:pt>
                <c:pt idx="6">
                  <c:v>Technology</c:v>
                </c:pt>
              </c:strCache>
            </c:strRef>
          </c:cat>
          <c:val>
            <c:numRef>
              <c:f>'Executive Dashboard'!$R$3:$R$9</c:f>
              <c:numCache>
                <c:formatCode>General</c:formatCode>
                <c:ptCount val="7"/>
                <c:pt idx="0">
                  <c:v>19</c:v>
                </c:pt>
                <c:pt idx="1">
                  <c:v>18</c:v>
                </c:pt>
                <c:pt idx="2">
                  <c:v>16</c:v>
                </c:pt>
                <c:pt idx="3">
                  <c:v>14</c:v>
                </c:pt>
                <c:pt idx="4">
                  <c:v>14</c:v>
                </c:pt>
                <c:pt idx="5">
                  <c:v>17</c:v>
                </c:pt>
                <c:pt idx="6">
                  <c:v>24</c:v>
                </c:pt>
              </c:numCache>
            </c:numRef>
          </c:val>
          <c:extLst>
            <c:ext xmlns:c16="http://schemas.microsoft.com/office/drawing/2014/chart" uri="{C3380CC4-5D6E-409C-BE32-E72D297353CC}">
              <c16:uniqueId val="{00000000-8CDC-CE4F-9E32-6BCFE2B3E8CE}"/>
            </c:ext>
          </c:extLst>
        </c:ser>
        <c:dLbls>
          <c:showLegendKey val="0"/>
          <c:showVal val="0"/>
          <c:showCatName val="0"/>
          <c:showSerName val="0"/>
          <c:showPercent val="0"/>
          <c:showBubbleSize val="0"/>
        </c:dLbls>
        <c:gapWidth val="182"/>
        <c:axId val="1437065487"/>
        <c:axId val="1437056831"/>
      </c:barChart>
      <c:catAx>
        <c:axId val="1437065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7056831"/>
        <c:crosses val="autoZero"/>
        <c:auto val="1"/>
        <c:lblAlgn val="ctr"/>
        <c:lblOffset val="100"/>
        <c:noMultiLvlLbl val="0"/>
      </c:catAx>
      <c:valAx>
        <c:axId val="14370568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706548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Schedule</a:t>
            </a:r>
            <a:r>
              <a:rPr lang="en-US" b="1" baseline="0"/>
              <a:t> Delays by Department</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'Executive Dashboard'!$Q$15:$Q$21</c:f>
              <c:strCache>
                <c:ptCount val="7"/>
                <c:pt idx="0">
                  <c:v>Facilities</c:v>
                </c:pt>
                <c:pt idx="1">
                  <c:v>Finance</c:v>
                </c:pt>
                <c:pt idx="2">
                  <c:v>Human Resources</c:v>
                </c:pt>
                <c:pt idx="3">
                  <c:v>Marketing</c:v>
                </c:pt>
                <c:pt idx="4">
                  <c:v>Operations</c:v>
                </c:pt>
                <c:pt idx="5">
                  <c:v>Procurement</c:v>
                </c:pt>
                <c:pt idx="6">
                  <c:v>Technology</c:v>
                </c:pt>
              </c:strCache>
            </c:strRef>
          </c:cat>
          <c:val>
            <c:numRef>
              <c:f>'Executive Dashboard'!$R$15:$R$21</c:f>
              <c:numCache>
                <c:formatCode>General</c:formatCode>
                <c:ptCount val="7"/>
                <c:pt idx="0">
                  <c:v>255</c:v>
                </c:pt>
                <c:pt idx="1">
                  <c:v>237</c:v>
                </c:pt>
                <c:pt idx="2">
                  <c:v>129</c:v>
                </c:pt>
                <c:pt idx="3">
                  <c:v>158</c:v>
                </c:pt>
                <c:pt idx="4">
                  <c:v>239</c:v>
                </c:pt>
                <c:pt idx="5">
                  <c:v>189</c:v>
                </c:pt>
                <c:pt idx="6">
                  <c:v>318</c:v>
                </c:pt>
              </c:numCache>
            </c:numRef>
          </c:val>
          <c:extLst>
            <c:ext xmlns:c16="http://schemas.microsoft.com/office/drawing/2014/chart" uri="{C3380CC4-5D6E-409C-BE32-E72D297353CC}">
              <c16:uniqueId val="{00000000-8B5D-7B47-8374-AC68A9967E4A}"/>
            </c:ext>
          </c:extLst>
        </c:ser>
        <c:dLbls>
          <c:showLegendKey val="0"/>
          <c:showVal val="0"/>
          <c:showCatName val="0"/>
          <c:showSerName val="0"/>
          <c:showPercent val="0"/>
          <c:showBubbleSize val="0"/>
        </c:dLbls>
        <c:gapWidth val="182"/>
        <c:axId val="1315431455"/>
        <c:axId val="1437207439"/>
      </c:barChart>
      <c:catAx>
        <c:axId val="13154314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7207439"/>
        <c:crosses val="autoZero"/>
        <c:auto val="1"/>
        <c:lblAlgn val="ctr"/>
        <c:lblOffset val="100"/>
        <c:noMultiLvlLbl val="0"/>
      </c:catAx>
      <c:valAx>
        <c:axId val="14372074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543145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31749</xdr:colOff>
      <xdr:row>7</xdr:row>
      <xdr:rowOff>14569</xdr:rowOff>
    </xdr:from>
    <xdr:to>
      <xdr:col>6</xdr:col>
      <xdr:colOff>18676</xdr:colOff>
      <xdr:row>22</xdr:row>
      <xdr:rowOff>99734</xdr:rowOff>
    </xdr:to>
    <xdr:graphicFrame macro="">
      <xdr:nvGraphicFramePr>
        <xdr:cNvPr id="2" name="Chart 1">
          <a:extLst>
            <a:ext uri="{FF2B5EF4-FFF2-40B4-BE49-F238E27FC236}">
              <a16:creationId xmlns:a16="http://schemas.microsoft.com/office/drawing/2014/main" id="{EEBEE389-BA9D-BE73-0B28-837DA08044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7</xdr:row>
      <xdr:rowOff>27268</xdr:rowOff>
    </xdr:from>
    <xdr:to>
      <xdr:col>11</xdr:col>
      <xdr:colOff>803086</xdr:colOff>
      <xdr:row>22</xdr:row>
      <xdr:rowOff>74706</xdr:rowOff>
    </xdr:to>
    <xdr:graphicFrame macro="">
      <xdr:nvGraphicFramePr>
        <xdr:cNvPr id="3" name="Chart 2">
          <a:extLst>
            <a:ext uri="{FF2B5EF4-FFF2-40B4-BE49-F238E27FC236}">
              <a16:creationId xmlns:a16="http://schemas.microsoft.com/office/drawing/2014/main" id="{08DCA958-254E-703E-3D57-316C67A48B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22</xdr:row>
      <xdr:rowOff>116213</xdr:rowOff>
    </xdr:from>
    <xdr:to>
      <xdr:col>6</xdr:col>
      <xdr:colOff>13538</xdr:colOff>
      <xdr:row>38</xdr:row>
      <xdr:rowOff>3222</xdr:rowOff>
    </xdr:to>
    <xdr:graphicFrame macro="">
      <xdr:nvGraphicFramePr>
        <xdr:cNvPr id="4" name="Chart 3">
          <a:extLst>
            <a:ext uri="{FF2B5EF4-FFF2-40B4-BE49-F238E27FC236}">
              <a16:creationId xmlns:a16="http://schemas.microsoft.com/office/drawing/2014/main" id="{2E6BF62F-2F29-07A7-6930-D845774104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828524</xdr:colOff>
      <xdr:row>22</xdr:row>
      <xdr:rowOff>117625</xdr:rowOff>
    </xdr:from>
    <xdr:to>
      <xdr:col>12</xdr:col>
      <xdr:colOff>15119</xdr:colOff>
      <xdr:row>38</xdr:row>
      <xdr:rowOff>30237</xdr:rowOff>
    </xdr:to>
    <xdr:graphicFrame macro="">
      <xdr:nvGraphicFramePr>
        <xdr:cNvPr id="5" name="Chart 4">
          <a:extLst>
            <a:ext uri="{FF2B5EF4-FFF2-40B4-BE49-F238E27FC236}">
              <a16:creationId xmlns:a16="http://schemas.microsoft.com/office/drawing/2014/main" id="{915E6A93-4DD7-3478-8D17-CA43090344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lsey Howell" refreshedDate="46245.513458796297" createdVersion="8" refreshedVersion="8" minRefreshableVersion="3" recordCount="750" xr:uid="{5BD8FFB1-16D1-5642-ABA2-CEC8D5468C30}">
  <cacheSource type="worksheet">
    <worksheetSource name="ProjectTaskData"/>
  </cacheSource>
  <cacheFields count="22">
    <cacheField name="Task ID" numFmtId="0">
      <sharedItems/>
    </cacheField>
    <cacheField name="Project ID" numFmtId="0">
      <sharedItems/>
    </cacheField>
    <cacheField name="Project Name" numFmtId="0">
      <sharedItems count="30">
        <s v="Operations Facility Upgrade 01"/>
        <s v="Technology Compliance 02"/>
        <s v="Finance Vendor Transition 03"/>
        <s v="Human Resources System Implementation 04"/>
        <s v="Facilities Cost Reduction 05"/>
        <s v="Marketing Automation 06"/>
        <s v="Procurement Process Improvement 07"/>
        <s v="Operations Facility Upgrade 08"/>
        <s v="Technology Compliance 09"/>
        <s v="Finance Vendor Transition 10"/>
        <s v="Human Resources System Implementation 11"/>
        <s v="Facilities Cost Reduction 12"/>
        <s v="Marketing Automation 13"/>
        <s v="Procurement Process Improvement 14"/>
        <s v="Operations Facility Upgrade 15"/>
        <s v="Technology Compliance 16"/>
        <s v="Finance Vendor Transition 17"/>
        <s v="Human Resources System Implementation 18"/>
        <s v="Facilities Cost Reduction 19"/>
        <s v="Marketing Automation 20"/>
        <s v="Procurement Process Improvement 21"/>
        <s v="Operations Facility Upgrade 22"/>
        <s v="Technology Compliance 23"/>
        <s v="Finance Vendor Transition 24"/>
        <s v="Human Resources System Implementation 25"/>
        <s v="Facilities Cost Reduction 26"/>
        <s v="Marketing Automation 27"/>
        <s v="Procurement Process Improvement 28"/>
        <s v="Operations Facility Upgrade 29"/>
        <s v="Technology Compliance 30"/>
      </sharedItems>
    </cacheField>
    <cacheField name="Department" numFmtId="0">
      <sharedItems count="7">
        <s v="Operations"/>
        <s v="Technology"/>
        <s v="Finance"/>
        <s v="Human Resources"/>
        <s v="Facilities"/>
        <s v="Marketing"/>
        <s v="Procurement"/>
      </sharedItems>
    </cacheField>
    <cacheField name="Project Type" numFmtId="0">
      <sharedItems/>
    </cacheField>
    <cacheField name="Project Manager" numFmtId="0">
      <sharedItems count="6">
        <s v="Avery Brooks"/>
        <s v="Jordan Lee"/>
        <s v="Morgan Patel"/>
        <s v="Taylor Reed"/>
        <s v="Cameron Diaz"/>
        <s v="Riley Chen"/>
      </sharedItems>
    </cacheField>
    <cacheField name="Workstream" numFmtId="0">
      <sharedItems/>
    </cacheField>
    <cacheField name="Task Name" numFmtId="0">
      <sharedItems/>
    </cacheField>
    <cacheField name="Priority" numFmtId="0">
      <sharedItems/>
    </cacheField>
    <cacheField name="Risk Level" numFmtId="0">
      <sharedItems count="3">
        <s v="Low"/>
        <s v="High"/>
        <s v="Medium"/>
      </sharedItems>
    </cacheField>
    <cacheField name="Vendor" numFmtId="0">
      <sharedItems/>
    </cacheField>
    <cacheField name="Planned Start" numFmtId="164">
      <sharedItems containsSemiMixedTypes="0" containsNonDate="0" containsDate="1" containsString="0" minDate="2025-01-24T00:00:00" maxDate="2026-06-20T00:00:00"/>
    </cacheField>
    <cacheField name="Planned Finish" numFmtId="164">
      <sharedItems containsSemiMixedTypes="0" containsNonDate="0" containsDate="1" containsString="0" minDate="2025-01-30T00:00:00" maxDate="2026-07-15T00:00:00"/>
    </cacheField>
    <cacheField name="Actual Finish" numFmtId="164">
      <sharedItems containsNonDate="0" containsDate="1" containsString="0" containsBlank="1" minDate="2025-01-18T00:00:00" maxDate="2026-07-14T00:00:00"/>
    </cacheField>
    <cacheField name="Status" numFmtId="0">
      <sharedItems count="5">
        <s v="Completed"/>
        <s v="On Hold"/>
        <s v="In Progress"/>
        <s v="Not Started"/>
        <s v="Active Workload" f="1"/>
      </sharedItems>
    </cacheField>
    <cacheField name="Percent Complete" numFmtId="9">
      <sharedItems containsSemiMixedTypes="0" containsString="0" containsNumber="1" minValue="0" maxValue="1"/>
    </cacheField>
    <cacheField name="Planned Budget" numFmtId="165">
      <sharedItems containsSemiMixedTypes="0" containsString="0" containsNumber="1" containsInteger="1" minValue="1500" maxValue="45000"/>
    </cacheField>
    <cacheField name="Actual Cost" numFmtId="165">
      <sharedItems containsSemiMixedTypes="0" containsString="0" containsNumber="1" minValue="0" maxValue="55915.77"/>
    </cacheField>
    <cacheField name="Issue Count" numFmtId="0">
      <sharedItems containsSemiMixedTypes="0" containsString="0" containsNumber="1" containsInteger="1" minValue="0" maxValue="6"/>
    </cacheField>
    <cacheField name="Days Delayed" numFmtId="0">
      <sharedItems containsMixedTypes="1" containsNumber="1" containsInteger="1" minValue="0" maxValue="21"/>
    </cacheField>
    <cacheField name="Unique Project Flag" numFmtId="0">
      <sharedItems containsSemiMixedTypes="0" containsString="0" containsNumber="1" containsInteger="1" minValue="0" maxValue="1"/>
    </cacheField>
    <cacheField name="Budget Variance" numFmtId="4">
      <sharedItems containsSemiMixedTypes="0" containsString="0" containsNumber="1" minValue="-11015.769999999997" maxValue="45000"/>
    </cacheField>
  </cacheFields>
  <calculatedItems count="1">
    <calculatedItem formula="Status['In Progress'] +Status['On Hold']">
      <pivotArea cacheIndex="1" outline="0" fieldPosition="0">
        <references count="1">
          <reference field="14" count="1">
            <x v="4"/>
          </reference>
        </references>
      </pivotArea>
    </calculatedItem>
  </calculatedItem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50">
  <r>
    <s v="TSK-0001"/>
    <s v="PRJ-1001"/>
    <x v="0"/>
    <x v="0"/>
    <s v="Facility Upgrade"/>
    <x v="0"/>
    <s v="Planning"/>
    <s v="Planning Task 01"/>
    <s v="Medium"/>
    <x v="0"/>
    <s v="Internal Team"/>
    <d v="2025-11-30T00:00:00"/>
    <d v="2025-12-27T00:00:00"/>
    <d v="2025-12-27T00:00:00"/>
    <x v="0"/>
    <n v="1"/>
    <n v="8300"/>
    <n v="7677.14"/>
    <n v="2"/>
    <n v="0"/>
    <n v="1"/>
    <n v="622.85999999999967"/>
  </r>
  <r>
    <s v="TSK-0002"/>
    <s v="PRJ-1002"/>
    <x v="1"/>
    <x v="1"/>
    <s v="Compliance"/>
    <x v="1"/>
    <s v="Requirements"/>
    <s v="Requirements Task 01"/>
    <s v="Low"/>
    <x v="0"/>
    <s v="Summit Partners"/>
    <d v="2025-05-10T00:00:00"/>
    <d v="2025-06-07T00:00:00"/>
    <m/>
    <x v="0"/>
    <n v="0"/>
    <n v="21500"/>
    <n v="0"/>
    <n v="3"/>
    <s v=""/>
    <n v="1"/>
    <n v="21500"/>
  </r>
  <r>
    <s v="TSK-0003"/>
    <s v="PRJ-1003"/>
    <x v="2"/>
    <x v="2"/>
    <s v="Vendor Transition"/>
    <x v="2"/>
    <s v="Configuration"/>
    <s v="Configuration Task 01"/>
    <s v="Low"/>
    <x v="0"/>
    <s v="Northstar Consulting"/>
    <d v="2025-04-20T00:00:00"/>
    <d v="2025-05-11T00:00:00"/>
    <m/>
    <x v="0"/>
    <n v="0.25"/>
    <n v="3500"/>
    <n v="4184.71"/>
    <n v="1"/>
    <s v=""/>
    <n v="1"/>
    <n v="-684.71"/>
  </r>
  <r>
    <s v="TSK-0004"/>
    <s v="PRJ-1004"/>
    <x v="3"/>
    <x v="3"/>
    <s v="System Implementation"/>
    <x v="3"/>
    <s v="Execution"/>
    <s v="Execution Task 01"/>
    <s v="Low"/>
    <x v="0"/>
    <s v="Internal Team"/>
    <d v="2026-04-01T00:00:00"/>
    <d v="2026-04-18T00:00:00"/>
    <d v="2026-04-26T00:00:00"/>
    <x v="0"/>
    <n v="1"/>
    <n v="17400"/>
    <n v="16848.48"/>
    <n v="2"/>
    <n v="8"/>
    <n v="1"/>
    <n v="551.52000000000044"/>
  </r>
  <r>
    <s v="TSK-0005"/>
    <s v="PRJ-1005"/>
    <x v="4"/>
    <x v="4"/>
    <s v="Cost Reduction"/>
    <x v="4"/>
    <s v="Testing"/>
    <s v="Testing Task 01"/>
    <s v="Medium"/>
    <x v="1"/>
    <s v="Northstar Consulting"/>
    <d v="2025-07-08T00:00:00"/>
    <d v="2025-07-28T00:00:00"/>
    <d v="2025-08-03T00:00:00"/>
    <x v="0"/>
    <n v="1"/>
    <n v="44500"/>
    <n v="51706.33"/>
    <n v="2"/>
    <n v="6"/>
    <n v="1"/>
    <n v="-7206.3300000000017"/>
  </r>
  <r>
    <s v="TSK-0006"/>
    <s v="PRJ-1006"/>
    <x v="5"/>
    <x v="5"/>
    <s v="Automation"/>
    <x v="5"/>
    <s v="Training"/>
    <s v="Training Task 01"/>
    <s v="High"/>
    <x v="2"/>
    <s v="Vertex Systems"/>
    <d v="2025-07-08T00:00:00"/>
    <d v="2025-08-06T00:00:00"/>
    <m/>
    <x v="0"/>
    <n v="0"/>
    <n v="15200"/>
    <n v="0"/>
    <n v="2"/>
    <s v=""/>
    <n v="1"/>
    <n v="15200"/>
  </r>
  <r>
    <s v="TSK-0007"/>
    <s v="PRJ-1007"/>
    <x v="6"/>
    <x v="6"/>
    <s v="Process Improvement"/>
    <x v="0"/>
    <s v="Launch"/>
    <s v="Launch Task 01"/>
    <s v="Critical"/>
    <x v="1"/>
    <s v="Internal Team"/>
    <d v="2025-09-04T00:00:00"/>
    <d v="2025-09-19T00:00:00"/>
    <d v="2025-09-26T00:00:00"/>
    <x v="0"/>
    <n v="1"/>
    <n v="29500"/>
    <n v="32674.49"/>
    <n v="4"/>
    <n v="7"/>
    <n v="1"/>
    <n v="-3174.4900000000016"/>
  </r>
  <r>
    <s v="TSK-0008"/>
    <s v="PRJ-1008"/>
    <x v="7"/>
    <x v="0"/>
    <s v="Facility Upgrade"/>
    <x v="1"/>
    <s v="Closeout"/>
    <s v="Closeout Task 01"/>
    <s v="High"/>
    <x v="2"/>
    <s v="Vertex Systems"/>
    <d v="2025-07-05T00:00:00"/>
    <d v="2025-07-26T00:00:00"/>
    <m/>
    <x v="0"/>
    <n v="0.4"/>
    <n v="44900"/>
    <n v="49516.480000000003"/>
    <n v="3"/>
    <s v=""/>
    <n v="1"/>
    <n v="-4616.4800000000032"/>
  </r>
  <r>
    <s v="TSK-0009"/>
    <s v="PRJ-1009"/>
    <x v="8"/>
    <x v="1"/>
    <s v="Compliance"/>
    <x v="2"/>
    <s v="Discovery"/>
    <s v="Discovery Task 01"/>
    <s v="High"/>
    <x v="1"/>
    <s v="Internal Team"/>
    <d v="2026-02-27T00:00:00"/>
    <d v="2026-03-27T00:00:00"/>
    <d v="2026-03-23T00:00:00"/>
    <x v="0"/>
    <n v="1"/>
    <n v="27400"/>
    <n v="27626.5"/>
    <n v="2"/>
    <n v="0"/>
    <n v="1"/>
    <n v="-226.5"/>
  </r>
  <r>
    <s v="TSK-0010"/>
    <s v="PRJ-1010"/>
    <x v="9"/>
    <x v="2"/>
    <s v="Vendor Transition"/>
    <x v="3"/>
    <s v="Planning"/>
    <s v="Planning Task 01"/>
    <s v="Medium"/>
    <x v="1"/>
    <s v="Vertex Systems"/>
    <d v="2025-03-28T00:00:00"/>
    <d v="2025-04-21T00:00:00"/>
    <d v="2025-04-24T00:00:00"/>
    <x v="0"/>
    <n v="1"/>
    <n v="34200"/>
    <n v="36993.980000000003"/>
    <n v="2"/>
    <n v="3"/>
    <n v="1"/>
    <n v="-2793.9800000000032"/>
  </r>
  <r>
    <s v="TSK-0011"/>
    <s v="PRJ-1011"/>
    <x v="10"/>
    <x v="3"/>
    <s v="System Implementation"/>
    <x v="4"/>
    <s v="Requirements"/>
    <s v="Requirements Task 01"/>
    <s v="Medium"/>
    <x v="0"/>
    <s v="Internal Team"/>
    <d v="2026-02-23T00:00:00"/>
    <d v="2026-03-14T00:00:00"/>
    <d v="2026-03-13T00:00:00"/>
    <x v="0"/>
    <n v="1"/>
    <n v="28700"/>
    <n v="29201.75"/>
    <n v="2"/>
    <n v="0"/>
    <n v="1"/>
    <n v="-501.75"/>
  </r>
  <r>
    <s v="TSK-0012"/>
    <s v="PRJ-1012"/>
    <x v="11"/>
    <x v="4"/>
    <s v="Cost Reduction"/>
    <x v="5"/>
    <s v="Configuration"/>
    <s v="Configuration Task 01"/>
    <s v="Medium"/>
    <x v="0"/>
    <s v="Internal Team"/>
    <d v="2026-06-04T00:00:00"/>
    <d v="2026-06-07T00:00:00"/>
    <d v="2026-06-02T00:00:00"/>
    <x v="0"/>
    <n v="1"/>
    <n v="22800"/>
    <n v="25073.279999999999"/>
    <n v="2"/>
    <n v="0"/>
    <n v="1"/>
    <n v="-2273.2799999999988"/>
  </r>
  <r>
    <s v="TSK-0013"/>
    <s v="PRJ-1013"/>
    <x v="12"/>
    <x v="5"/>
    <s v="Automation"/>
    <x v="0"/>
    <s v="Execution"/>
    <s v="Execution Task 01"/>
    <s v="Critical"/>
    <x v="2"/>
    <s v="Internal Team"/>
    <d v="2025-12-12T00:00:00"/>
    <d v="2026-01-02T00:00:00"/>
    <m/>
    <x v="1"/>
    <n v="0.1"/>
    <n v="33300"/>
    <n v="38044.54"/>
    <n v="0"/>
    <s v=""/>
    <n v="1"/>
    <n v="-4744.5400000000009"/>
  </r>
  <r>
    <s v="TSK-0014"/>
    <s v="PRJ-1014"/>
    <x v="13"/>
    <x v="6"/>
    <s v="Process Improvement"/>
    <x v="1"/>
    <s v="Testing"/>
    <s v="Testing Task 01"/>
    <s v="Medium"/>
    <x v="0"/>
    <s v="Northstar Consulting"/>
    <d v="2025-07-09T00:00:00"/>
    <d v="2025-07-17T00:00:00"/>
    <m/>
    <x v="2"/>
    <n v="0.9"/>
    <n v="27900"/>
    <n v="35339"/>
    <n v="1"/>
    <s v=""/>
    <n v="1"/>
    <n v="-7439"/>
  </r>
  <r>
    <s v="TSK-0015"/>
    <s v="PRJ-1015"/>
    <x v="14"/>
    <x v="0"/>
    <s v="Facility Upgrade"/>
    <x v="2"/>
    <s v="Training"/>
    <s v="Training Task 01"/>
    <s v="High"/>
    <x v="2"/>
    <s v="Vertex Systems"/>
    <d v="2026-02-14T00:00:00"/>
    <d v="2026-03-10T00:00:00"/>
    <d v="2026-03-04T00:00:00"/>
    <x v="0"/>
    <n v="1"/>
    <n v="6800"/>
    <n v="7278.47"/>
    <n v="2"/>
    <n v="0"/>
    <n v="1"/>
    <n v="-478.47000000000025"/>
  </r>
  <r>
    <s v="TSK-0016"/>
    <s v="PRJ-1016"/>
    <x v="15"/>
    <x v="1"/>
    <s v="Compliance"/>
    <x v="3"/>
    <s v="Launch"/>
    <s v="Launch Task 01"/>
    <s v="High"/>
    <x v="0"/>
    <s v="Internal Team"/>
    <d v="2025-08-28T00:00:00"/>
    <d v="2025-09-22T00:00:00"/>
    <d v="2025-09-30T00:00:00"/>
    <x v="0"/>
    <n v="1"/>
    <n v="11500"/>
    <n v="13807.05"/>
    <n v="0"/>
    <n v="8"/>
    <n v="1"/>
    <n v="-2307.0499999999993"/>
  </r>
  <r>
    <s v="TSK-0017"/>
    <s v="PRJ-1017"/>
    <x v="16"/>
    <x v="2"/>
    <s v="Vendor Transition"/>
    <x v="4"/>
    <s v="Closeout"/>
    <s v="Closeout Task 01"/>
    <s v="Low"/>
    <x v="0"/>
    <s v="Northstar Consulting"/>
    <d v="2025-03-17T00:00:00"/>
    <d v="2025-04-06T00:00:00"/>
    <m/>
    <x v="3"/>
    <n v="0"/>
    <n v="42200"/>
    <n v="0"/>
    <n v="1"/>
    <s v=""/>
    <n v="1"/>
    <n v="42200"/>
  </r>
  <r>
    <s v="TSK-0018"/>
    <s v="PRJ-1018"/>
    <x v="17"/>
    <x v="3"/>
    <s v="System Implementation"/>
    <x v="5"/>
    <s v="Discovery"/>
    <s v="Discovery Task 01"/>
    <s v="High"/>
    <x v="2"/>
    <s v="Internal Team"/>
    <d v="2025-02-14T00:00:00"/>
    <d v="2025-03-10T00:00:00"/>
    <m/>
    <x v="2"/>
    <n v="0.6"/>
    <n v="19400"/>
    <n v="20255.080000000002"/>
    <n v="1"/>
    <s v=""/>
    <n v="1"/>
    <n v="-855.08000000000175"/>
  </r>
  <r>
    <s v="TSK-0019"/>
    <s v="PRJ-1019"/>
    <x v="18"/>
    <x v="4"/>
    <s v="Cost Reduction"/>
    <x v="0"/>
    <s v="Planning"/>
    <s v="Planning Task 01"/>
    <s v="High"/>
    <x v="2"/>
    <s v="Internal Team"/>
    <d v="2025-05-19T00:00:00"/>
    <d v="2025-06-16T00:00:00"/>
    <d v="2025-06-18T00:00:00"/>
    <x v="0"/>
    <n v="1"/>
    <n v="21000"/>
    <n v="22920.48"/>
    <n v="1"/>
    <n v="2"/>
    <n v="1"/>
    <n v="-1920.4799999999996"/>
  </r>
  <r>
    <s v="TSK-0020"/>
    <s v="PRJ-1020"/>
    <x v="19"/>
    <x v="5"/>
    <s v="Automation"/>
    <x v="1"/>
    <s v="Requirements"/>
    <s v="Requirements Task 01"/>
    <s v="Medium"/>
    <x v="1"/>
    <s v="Internal Team"/>
    <d v="2025-09-14T00:00:00"/>
    <d v="2025-09-20T00:00:00"/>
    <m/>
    <x v="3"/>
    <n v="0"/>
    <n v="45000"/>
    <n v="0"/>
    <n v="5"/>
    <s v=""/>
    <n v="1"/>
    <n v="45000"/>
  </r>
  <r>
    <s v="TSK-0021"/>
    <s v="PRJ-1021"/>
    <x v="20"/>
    <x v="6"/>
    <s v="Process Improvement"/>
    <x v="2"/>
    <s v="Configuration"/>
    <s v="Configuration Task 01"/>
    <s v="Critical"/>
    <x v="2"/>
    <s v="Internal Team"/>
    <d v="2025-09-06T00:00:00"/>
    <d v="2025-09-24T00:00:00"/>
    <m/>
    <x v="2"/>
    <n v="0.6"/>
    <n v="40800"/>
    <n v="31473.08"/>
    <n v="2"/>
    <s v=""/>
    <n v="1"/>
    <n v="9326.9199999999983"/>
  </r>
  <r>
    <s v="TSK-0022"/>
    <s v="PRJ-1022"/>
    <x v="21"/>
    <x v="0"/>
    <s v="Facility Upgrade"/>
    <x v="3"/>
    <s v="Execution"/>
    <s v="Execution Task 01"/>
    <s v="Medium"/>
    <x v="1"/>
    <s v="Vertex Systems"/>
    <d v="2025-12-03T00:00:00"/>
    <d v="2025-12-19T00:00:00"/>
    <d v="2025-12-21T00:00:00"/>
    <x v="0"/>
    <n v="1"/>
    <n v="33300"/>
    <n v="36753.47"/>
    <n v="1"/>
    <n v="2"/>
    <n v="1"/>
    <n v="-3453.4700000000012"/>
  </r>
  <r>
    <s v="TSK-0023"/>
    <s v="PRJ-1023"/>
    <x v="22"/>
    <x v="1"/>
    <s v="Compliance"/>
    <x v="4"/>
    <s v="Testing"/>
    <s v="Testing Task 01"/>
    <s v="Medium"/>
    <x v="0"/>
    <s v="Internal Team"/>
    <d v="2025-11-24T00:00:00"/>
    <d v="2025-12-15T00:00:00"/>
    <d v="2025-12-23T00:00:00"/>
    <x v="0"/>
    <n v="1"/>
    <n v="3700"/>
    <n v="3905.95"/>
    <n v="0"/>
    <n v="8"/>
    <n v="1"/>
    <n v="-205.94999999999982"/>
  </r>
  <r>
    <s v="TSK-0024"/>
    <s v="PRJ-1024"/>
    <x v="23"/>
    <x v="2"/>
    <s v="Vendor Transition"/>
    <x v="5"/>
    <s v="Training"/>
    <s v="Training Task 01"/>
    <s v="Medium"/>
    <x v="0"/>
    <s v="Apex Solutions"/>
    <d v="2025-03-07T00:00:00"/>
    <d v="2025-03-12T00:00:00"/>
    <d v="2025-03-16T00:00:00"/>
    <x v="0"/>
    <n v="1"/>
    <n v="30900"/>
    <n v="31677.47"/>
    <n v="2"/>
    <n v="4"/>
    <n v="1"/>
    <n v="-777.47000000000116"/>
  </r>
  <r>
    <s v="TSK-0025"/>
    <s v="PRJ-1025"/>
    <x v="24"/>
    <x v="3"/>
    <s v="System Implementation"/>
    <x v="0"/>
    <s v="Launch"/>
    <s v="Launch Task 01"/>
    <s v="High"/>
    <x v="0"/>
    <s v="Northstar Consulting"/>
    <d v="2025-11-09T00:00:00"/>
    <d v="2025-11-25T00:00:00"/>
    <d v="2025-11-21T00:00:00"/>
    <x v="0"/>
    <n v="1"/>
    <n v="12800"/>
    <n v="12566.69"/>
    <n v="1"/>
    <n v="0"/>
    <n v="1"/>
    <n v="233.30999999999949"/>
  </r>
  <r>
    <s v="TSK-0026"/>
    <s v="PRJ-1026"/>
    <x v="25"/>
    <x v="4"/>
    <s v="Cost Reduction"/>
    <x v="1"/>
    <s v="Closeout"/>
    <s v="Closeout Task 01"/>
    <s v="Medium"/>
    <x v="0"/>
    <s v="Northstar Consulting"/>
    <d v="2025-08-12T00:00:00"/>
    <d v="2025-08-25T00:00:00"/>
    <d v="2025-08-22T00:00:00"/>
    <x v="0"/>
    <n v="1"/>
    <n v="42200"/>
    <n v="49500.61"/>
    <n v="1"/>
    <n v="0"/>
    <n v="1"/>
    <n v="-7300.6100000000006"/>
  </r>
  <r>
    <s v="TSK-0027"/>
    <s v="PRJ-1027"/>
    <x v="26"/>
    <x v="5"/>
    <s v="Automation"/>
    <x v="2"/>
    <s v="Discovery"/>
    <s v="Discovery Task 01"/>
    <s v="Medium"/>
    <x v="0"/>
    <s v="Apex Solutions"/>
    <d v="2026-05-16T00:00:00"/>
    <d v="2026-05-27T00:00:00"/>
    <m/>
    <x v="3"/>
    <n v="0"/>
    <n v="16700"/>
    <n v="0"/>
    <n v="2"/>
    <s v=""/>
    <n v="1"/>
    <n v="16700"/>
  </r>
  <r>
    <s v="TSK-0028"/>
    <s v="PRJ-1028"/>
    <x v="27"/>
    <x v="6"/>
    <s v="Process Improvement"/>
    <x v="3"/>
    <s v="Planning"/>
    <s v="Planning Task 01"/>
    <s v="Medium"/>
    <x v="0"/>
    <s v="Apex Solutions"/>
    <d v="2026-02-19T00:00:00"/>
    <d v="2026-03-13T00:00:00"/>
    <m/>
    <x v="1"/>
    <n v="0.65"/>
    <n v="1800"/>
    <n v="1904.35"/>
    <n v="0"/>
    <s v=""/>
    <n v="1"/>
    <n v="-104.34999999999991"/>
  </r>
  <r>
    <s v="TSK-0029"/>
    <s v="PRJ-1029"/>
    <x v="28"/>
    <x v="0"/>
    <s v="Facility Upgrade"/>
    <x v="4"/>
    <s v="Requirements"/>
    <s v="Requirements Task 01"/>
    <s v="High"/>
    <x v="1"/>
    <s v="Internal Team"/>
    <d v="2026-01-29T00:00:00"/>
    <d v="2026-02-04T00:00:00"/>
    <d v="2026-02-09T00:00:00"/>
    <x v="0"/>
    <n v="1"/>
    <n v="10700"/>
    <n v="12242.5"/>
    <n v="2"/>
    <n v="5"/>
    <n v="1"/>
    <n v="-1542.5"/>
  </r>
  <r>
    <s v="TSK-0030"/>
    <s v="PRJ-1030"/>
    <x v="29"/>
    <x v="1"/>
    <s v="Compliance"/>
    <x v="5"/>
    <s v="Execution"/>
    <s v="Execution Task 01"/>
    <s v="High"/>
    <x v="0"/>
    <s v="Internal Team"/>
    <d v="2025-10-25T00:00:00"/>
    <d v="2025-10-30T00:00:00"/>
    <d v="2025-11-10T00:00:00"/>
    <x v="0"/>
    <n v="1"/>
    <n v="37600"/>
    <n v="41936.03"/>
    <n v="2"/>
    <n v="11"/>
    <n v="1"/>
    <n v="-4336.0299999999988"/>
  </r>
  <r>
    <s v="TSK-0031"/>
    <s v="PRJ-1001"/>
    <x v="0"/>
    <x v="0"/>
    <s v="Facility Upgrade"/>
    <x v="0"/>
    <s v="Testing"/>
    <s v="Testing Task 02"/>
    <s v="Medium"/>
    <x v="1"/>
    <s v="Internal Team"/>
    <d v="2026-03-22T00:00:00"/>
    <d v="2026-04-11T00:00:00"/>
    <d v="2026-04-10T00:00:00"/>
    <x v="0"/>
    <n v="1"/>
    <n v="42600"/>
    <n v="44729.63"/>
    <n v="3"/>
    <n v="0"/>
    <n v="0"/>
    <n v="-2129.6299999999974"/>
  </r>
  <r>
    <s v="TSK-0032"/>
    <s v="PRJ-1002"/>
    <x v="1"/>
    <x v="1"/>
    <s v="Compliance"/>
    <x v="1"/>
    <s v="Training"/>
    <s v="Training Task 02"/>
    <s v="Low"/>
    <x v="0"/>
    <s v="Apex Solutions"/>
    <d v="2025-06-22T00:00:00"/>
    <d v="2025-06-29T00:00:00"/>
    <m/>
    <x v="0"/>
    <n v="0"/>
    <n v="17400"/>
    <n v="0"/>
    <n v="4"/>
    <s v=""/>
    <n v="0"/>
    <n v="17400"/>
  </r>
  <r>
    <s v="TSK-0033"/>
    <s v="PRJ-1003"/>
    <x v="2"/>
    <x v="2"/>
    <s v="Vendor Transition"/>
    <x v="2"/>
    <s v="Launch"/>
    <s v="Launch Task 02"/>
    <s v="Low"/>
    <x v="0"/>
    <s v="Vertex Systems"/>
    <d v="2025-02-13T00:00:00"/>
    <d v="2025-02-27T00:00:00"/>
    <d v="2025-02-21T00:00:00"/>
    <x v="0"/>
    <n v="1"/>
    <n v="40000"/>
    <n v="35703.39"/>
    <n v="2"/>
    <n v="0"/>
    <n v="0"/>
    <n v="4296.6100000000006"/>
  </r>
  <r>
    <s v="TSK-0034"/>
    <s v="PRJ-1004"/>
    <x v="3"/>
    <x v="3"/>
    <s v="System Implementation"/>
    <x v="3"/>
    <s v="Closeout"/>
    <s v="Closeout Task 02"/>
    <s v="Medium"/>
    <x v="1"/>
    <s v="Summit Partners"/>
    <d v="2026-03-06T00:00:00"/>
    <d v="2026-03-22T00:00:00"/>
    <m/>
    <x v="0"/>
    <n v="0"/>
    <n v="33500"/>
    <n v="0"/>
    <n v="6"/>
    <s v=""/>
    <n v="0"/>
    <n v="33500"/>
  </r>
  <r>
    <s v="TSK-0035"/>
    <s v="PRJ-1005"/>
    <x v="4"/>
    <x v="4"/>
    <s v="Cost Reduction"/>
    <x v="4"/>
    <s v="Discovery"/>
    <s v="Discovery Task 02"/>
    <s v="High"/>
    <x v="1"/>
    <s v="Summit Partners"/>
    <d v="2025-08-02T00:00:00"/>
    <d v="2025-08-10T00:00:00"/>
    <d v="2025-08-23T00:00:00"/>
    <x v="0"/>
    <n v="1"/>
    <n v="38800"/>
    <n v="46953.87"/>
    <n v="3"/>
    <n v="13"/>
    <n v="0"/>
    <n v="-8153.8700000000026"/>
  </r>
  <r>
    <s v="TSK-0036"/>
    <s v="PRJ-1006"/>
    <x v="5"/>
    <x v="5"/>
    <s v="Automation"/>
    <x v="5"/>
    <s v="Planning"/>
    <s v="Planning Task 02"/>
    <s v="Medium"/>
    <x v="0"/>
    <s v="Summit Partners"/>
    <d v="2025-07-08T00:00:00"/>
    <d v="2025-07-18T00:00:00"/>
    <m/>
    <x v="0"/>
    <n v="0"/>
    <n v="9900"/>
    <n v="0"/>
    <n v="0"/>
    <s v=""/>
    <n v="0"/>
    <n v="9900"/>
  </r>
  <r>
    <s v="TSK-0037"/>
    <s v="PRJ-1007"/>
    <x v="6"/>
    <x v="6"/>
    <s v="Process Improvement"/>
    <x v="0"/>
    <s v="Requirements"/>
    <s v="Requirements Task 02"/>
    <s v="Critical"/>
    <x v="0"/>
    <s v="Northstar Consulting"/>
    <d v="2025-08-10T00:00:00"/>
    <d v="2025-09-03T00:00:00"/>
    <m/>
    <x v="0"/>
    <n v="0.65"/>
    <n v="15900"/>
    <n v="19299.77"/>
    <n v="4"/>
    <s v=""/>
    <n v="0"/>
    <n v="-3399.7700000000004"/>
  </r>
  <r>
    <s v="TSK-0038"/>
    <s v="PRJ-1008"/>
    <x v="7"/>
    <x v="0"/>
    <s v="Facility Upgrade"/>
    <x v="1"/>
    <s v="Configuration"/>
    <s v="Configuration Task 02"/>
    <s v="Medium"/>
    <x v="2"/>
    <s v="BluePeak Services"/>
    <d v="2025-03-27T00:00:00"/>
    <d v="2025-04-02T00:00:00"/>
    <d v="2025-04-06T00:00:00"/>
    <x v="0"/>
    <n v="1"/>
    <n v="16500"/>
    <n v="17271"/>
    <n v="0"/>
    <n v="4"/>
    <n v="0"/>
    <n v="-771"/>
  </r>
  <r>
    <s v="TSK-0039"/>
    <s v="PRJ-1009"/>
    <x v="8"/>
    <x v="1"/>
    <s v="Compliance"/>
    <x v="2"/>
    <s v="Execution"/>
    <s v="Execution Task 02"/>
    <s v="Critical"/>
    <x v="0"/>
    <s v="BluePeak Services"/>
    <d v="2026-03-07T00:00:00"/>
    <d v="2026-03-18T00:00:00"/>
    <m/>
    <x v="3"/>
    <n v="0"/>
    <n v="20500"/>
    <n v="0"/>
    <n v="1"/>
    <s v=""/>
    <n v="0"/>
    <n v="20500"/>
  </r>
  <r>
    <s v="TSK-0040"/>
    <s v="PRJ-1010"/>
    <x v="9"/>
    <x v="2"/>
    <s v="Vendor Transition"/>
    <x v="3"/>
    <s v="Testing"/>
    <s v="Testing Task 02"/>
    <s v="High"/>
    <x v="1"/>
    <s v="Vertex Systems"/>
    <d v="2025-04-18T00:00:00"/>
    <d v="2025-05-02T00:00:00"/>
    <m/>
    <x v="2"/>
    <n v="0.85"/>
    <n v="41600"/>
    <n v="39682.080000000002"/>
    <n v="2"/>
    <s v=""/>
    <n v="0"/>
    <n v="1917.9199999999983"/>
  </r>
  <r>
    <s v="TSK-0041"/>
    <s v="PRJ-1011"/>
    <x v="10"/>
    <x v="3"/>
    <s v="System Implementation"/>
    <x v="4"/>
    <s v="Training"/>
    <s v="Training Task 02"/>
    <s v="Medium"/>
    <x v="1"/>
    <s v="Apex Solutions"/>
    <d v="2026-04-01T00:00:00"/>
    <d v="2026-04-14T00:00:00"/>
    <m/>
    <x v="2"/>
    <n v="0.5"/>
    <n v="25600"/>
    <n v="28880.11"/>
    <n v="5"/>
    <s v=""/>
    <n v="0"/>
    <n v="-3280.1100000000006"/>
  </r>
  <r>
    <s v="TSK-0042"/>
    <s v="PRJ-1012"/>
    <x v="11"/>
    <x v="4"/>
    <s v="Cost Reduction"/>
    <x v="5"/>
    <s v="Launch"/>
    <s v="Launch Task 02"/>
    <s v="Medium"/>
    <x v="2"/>
    <s v="Internal Team"/>
    <d v="2026-06-14T00:00:00"/>
    <d v="2026-06-26T00:00:00"/>
    <m/>
    <x v="2"/>
    <n v="0.9"/>
    <n v="1500"/>
    <n v="1489.79"/>
    <n v="3"/>
    <s v=""/>
    <n v="0"/>
    <n v="10.210000000000036"/>
  </r>
  <r>
    <s v="TSK-0043"/>
    <s v="PRJ-1013"/>
    <x v="12"/>
    <x v="5"/>
    <s v="Automation"/>
    <x v="0"/>
    <s v="Closeout"/>
    <s v="Closeout Task 02"/>
    <s v="High"/>
    <x v="2"/>
    <s v="Apex Solutions"/>
    <d v="2026-02-02T00:00:00"/>
    <d v="2026-02-26T00:00:00"/>
    <m/>
    <x v="2"/>
    <n v="0.6"/>
    <n v="36000"/>
    <n v="42977.86"/>
    <n v="1"/>
    <s v=""/>
    <n v="0"/>
    <n v="-6977.8600000000006"/>
  </r>
  <r>
    <s v="TSK-0044"/>
    <s v="PRJ-1014"/>
    <x v="13"/>
    <x v="6"/>
    <s v="Process Improvement"/>
    <x v="1"/>
    <s v="Discovery"/>
    <s v="Discovery Task 02"/>
    <s v="High"/>
    <x v="0"/>
    <s v="Northstar Consulting"/>
    <d v="2025-05-15T00:00:00"/>
    <d v="2025-05-20T00:00:00"/>
    <d v="2025-05-22T00:00:00"/>
    <x v="0"/>
    <n v="1"/>
    <n v="11300"/>
    <n v="9668.0499999999993"/>
    <n v="1"/>
    <n v="2"/>
    <n v="0"/>
    <n v="1631.9500000000007"/>
  </r>
  <r>
    <s v="TSK-0045"/>
    <s v="PRJ-1015"/>
    <x v="14"/>
    <x v="0"/>
    <s v="Facility Upgrade"/>
    <x v="2"/>
    <s v="Planning"/>
    <s v="Planning Task 02"/>
    <s v="Medium"/>
    <x v="0"/>
    <s v="Summit Partners"/>
    <d v="2025-11-22T00:00:00"/>
    <d v="2025-12-09T00:00:00"/>
    <m/>
    <x v="2"/>
    <n v="0.85"/>
    <n v="26500"/>
    <n v="27645.43"/>
    <n v="1"/>
    <s v=""/>
    <n v="0"/>
    <n v="-1145.4300000000003"/>
  </r>
  <r>
    <s v="TSK-0046"/>
    <s v="PRJ-1016"/>
    <x v="15"/>
    <x v="1"/>
    <s v="Compliance"/>
    <x v="3"/>
    <s v="Requirements"/>
    <s v="Requirements Task 02"/>
    <s v="Medium"/>
    <x v="0"/>
    <s v="Vertex Systems"/>
    <d v="2025-09-06T00:00:00"/>
    <d v="2025-10-03T00:00:00"/>
    <m/>
    <x v="2"/>
    <n v="0.4"/>
    <n v="36500"/>
    <n v="33355.74"/>
    <n v="1"/>
    <s v=""/>
    <n v="0"/>
    <n v="3144.260000000002"/>
  </r>
  <r>
    <s v="TSK-0047"/>
    <s v="PRJ-1017"/>
    <x v="16"/>
    <x v="2"/>
    <s v="Vendor Transition"/>
    <x v="4"/>
    <s v="Configuration"/>
    <s v="Configuration Task 02"/>
    <s v="Medium"/>
    <x v="1"/>
    <s v="Internal Team"/>
    <d v="2025-02-25T00:00:00"/>
    <d v="2025-03-25T00:00:00"/>
    <d v="2025-03-20T00:00:00"/>
    <x v="0"/>
    <n v="1"/>
    <n v="24600"/>
    <n v="24117.91"/>
    <n v="3"/>
    <n v="0"/>
    <n v="0"/>
    <n v="482.09000000000015"/>
  </r>
  <r>
    <s v="TSK-0048"/>
    <s v="PRJ-1018"/>
    <x v="17"/>
    <x v="3"/>
    <s v="System Implementation"/>
    <x v="5"/>
    <s v="Execution"/>
    <s v="Execution Task 02"/>
    <s v="High"/>
    <x v="0"/>
    <s v="Summit Partners"/>
    <d v="2025-05-30T00:00:00"/>
    <d v="2025-06-15T00:00:00"/>
    <d v="2025-06-03T00:00:00"/>
    <x v="0"/>
    <n v="1"/>
    <n v="33800"/>
    <n v="32126.3"/>
    <n v="0"/>
    <n v="0"/>
    <n v="0"/>
    <n v="1673.7000000000007"/>
  </r>
  <r>
    <s v="TSK-0049"/>
    <s v="PRJ-1019"/>
    <x v="18"/>
    <x v="4"/>
    <s v="Cost Reduction"/>
    <x v="0"/>
    <s v="Testing"/>
    <s v="Testing Task 02"/>
    <s v="Medium"/>
    <x v="2"/>
    <s v="Vertex Systems"/>
    <d v="2025-07-05T00:00:00"/>
    <d v="2025-07-23T00:00:00"/>
    <d v="2025-07-26T00:00:00"/>
    <x v="0"/>
    <n v="1"/>
    <n v="13400"/>
    <n v="14736.71"/>
    <n v="2"/>
    <n v="3"/>
    <n v="0"/>
    <n v="-1336.7099999999991"/>
  </r>
  <r>
    <s v="TSK-0050"/>
    <s v="PRJ-1020"/>
    <x v="19"/>
    <x v="5"/>
    <s v="Automation"/>
    <x v="1"/>
    <s v="Training"/>
    <s v="Training Task 02"/>
    <s v="Medium"/>
    <x v="0"/>
    <s v="Apex Solutions"/>
    <d v="2025-06-01T00:00:00"/>
    <d v="2025-06-08T00:00:00"/>
    <m/>
    <x v="2"/>
    <n v="0.85"/>
    <n v="8100"/>
    <n v="8469.14"/>
    <n v="3"/>
    <s v=""/>
    <n v="0"/>
    <n v="-369.13999999999942"/>
  </r>
  <r>
    <s v="TSK-0051"/>
    <s v="PRJ-1021"/>
    <x v="20"/>
    <x v="6"/>
    <s v="Process Improvement"/>
    <x v="2"/>
    <s v="Launch"/>
    <s v="Launch Task 02"/>
    <s v="Medium"/>
    <x v="0"/>
    <s v="Internal Team"/>
    <d v="2025-08-20T00:00:00"/>
    <d v="2025-09-04T00:00:00"/>
    <d v="2025-08-28T00:00:00"/>
    <x v="0"/>
    <n v="1"/>
    <n v="38800"/>
    <n v="36258.300000000003"/>
    <n v="1"/>
    <n v="0"/>
    <n v="0"/>
    <n v="2541.6999999999971"/>
  </r>
  <r>
    <s v="TSK-0052"/>
    <s v="PRJ-1022"/>
    <x v="21"/>
    <x v="0"/>
    <s v="Facility Upgrade"/>
    <x v="3"/>
    <s v="Closeout"/>
    <s v="Closeout Task 02"/>
    <s v="Low"/>
    <x v="0"/>
    <s v="Vertex Systems"/>
    <d v="2026-01-06T00:00:00"/>
    <d v="2026-01-26T00:00:00"/>
    <d v="2026-01-21T00:00:00"/>
    <x v="0"/>
    <n v="1"/>
    <n v="25300"/>
    <n v="24240.58"/>
    <n v="1"/>
    <n v="0"/>
    <n v="0"/>
    <n v="1059.4199999999983"/>
  </r>
  <r>
    <s v="TSK-0053"/>
    <s v="PRJ-1023"/>
    <x v="22"/>
    <x v="1"/>
    <s v="Compliance"/>
    <x v="4"/>
    <s v="Discovery"/>
    <s v="Discovery Task 02"/>
    <s v="Medium"/>
    <x v="0"/>
    <s v="Internal Team"/>
    <d v="2026-02-04T00:00:00"/>
    <d v="2026-02-28T00:00:00"/>
    <d v="2026-02-27T00:00:00"/>
    <x v="0"/>
    <n v="1"/>
    <n v="21800"/>
    <n v="23050.68"/>
    <n v="2"/>
    <n v="0"/>
    <n v="0"/>
    <n v="-1250.6800000000003"/>
  </r>
  <r>
    <s v="TSK-0054"/>
    <s v="PRJ-1024"/>
    <x v="23"/>
    <x v="2"/>
    <s v="Vendor Transition"/>
    <x v="5"/>
    <s v="Planning"/>
    <s v="Planning Task 02"/>
    <s v="Low"/>
    <x v="0"/>
    <s v="Apex Solutions"/>
    <d v="2025-01-25T00:00:00"/>
    <d v="2025-01-30T00:00:00"/>
    <d v="2025-02-08T00:00:00"/>
    <x v="0"/>
    <n v="1"/>
    <n v="7400"/>
    <n v="7294.06"/>
    <n v="1"/>
    <n v="9"/>
    <n v="0"/>
    <n v="105.9399999999996"/>
  </r>
  <r>
    <s v="TSK-0055"/>
    <s v="PRJ-1025"/>
    <x v="24"/>
    <x v="3"/>
    <s v="System Implementation"/>
    <x v="0"/>
    <s v="Requirements"/>
    <s v="Requirements Task 02"/>
    <s v="Medium"/>
    <x v="0"/>
    <s v="Internal Team"/>
    <d v="2026-01-25T00:00:00"/>
    <d v="2026-02-05T00:00:00"/>
    <d v="2026-02-10T00:00:00"/>
    <x v="0"/>
    <n v="1"/>
    <n v="5100"/>
    <n v="4829.66"/>
    <n v="3"/>
    <n v="5"/>
    <n v="0"/>
    <n v="270.34000000000015"/>
  </r>
  <r>
    <s v="TSK-0056"/>
    <s v="PRJ-1026"/>
    <x v="25"/>
    <x v="4"/>
    <s v="Cost Reduction"/>
    <x v="1"/>
    <s v="Configuration"/>
    <s v="Configuration Task 02"/>
    <s v="Critical"/>
    <x v="0"/>
    <s v="Northstar Consulting"/>
    <d v="2025-04-27T00:00:00"/>
    <d v="2025-05-24T00:00:00"/>
    <m/>
    <x v="3"/>
    <n v="0"/>
    <n v="12300"/>
    <n v="0"/>
    <n v="2"/>
    <s v=""/>
    <n v="0"/>
    <n v="12300"/>
  </r>
  <r>
    <s v="TSK-0057"/>
    <s v="PRJ-1027"/>
    <x v="26"/>
    <x v="5"/>
    <s v="Automation"/>
    <x v="2"/>
    <s v="Execution"/>
    <s v="Execution Task 02"/>
    <s v="Medium"/>
    <x v="0"/>
    <s v="Internal Team"/>
    <d v="2026-03-03T00:00:00"/>
    <d v="2026-03-20T00:00:00"/>
    <d v="2026-03-14T00:00:00"/>
    <x v="0"/>
    <n v="1"/>
    <n v="34900"/>
    <n v="38190.160000000003"/>
    <n v="3"/>
    <n v="0"/>
    <n v="0"/>
    <n v="-3290.1600000000035"/>
  </r>
  <r>
    <s v="TSK-0058"/>
    <s v="PRJ-1028"/>
    <x v="27"/>
    <x v="6"/>
    <s v="Process Improvement"/>
    <x v="3"/>
    <s v="Testing"/>
    <s v="Testing Task 02"/>
    <s v="High"/>
    <x v="0"/>
    <s v="Summit Partners"/>
    <d v="2026-02-21T00:00:00"/>
    <d v="2026-02-27T00:00:00"/>
    <d v="2026-03-09T00:00:00"/>
    <x v="0"/>
    <n v="1"/>
    <n v="41000"/>
    <n v="39267.89"/>
    <n v="0"/>
    <n v="10"/>
    <n v="0"/>
    <n v="1732.1100000000006"/>
  </r>
  <r>
    <s v="TSK-0059"/>
    <s v="PRJ-1029"/>
    <x v="28"/>
    <x v="0"/>
    <s v="Facility Upgrade"/>
    <x v="4"/>
    <s v="Training"/>
    <s v="Training Task 02"/>
    <s v="Medium"/>
    <x v="2"/>
    <s v="Summit Partners"/>
    <d v="2026-03-03T00:00:00"/>
    <d v="2026-03-09T00:00:00"/>
    <d v="2026-03-23T00:00:00"/>
    <x v="0"/>
    <n v="1"/>
    <n v="14600"/>
    <n v="13725.35"/>
    <n v="0"/>
    <n v="14"/>
    <n v="0"/>
    <n v="874.64999999999964"/>
  </r>
  <r>
    <s v="TSK-0060"/>
    <s v="PRJ-1030"/>
    <x v="29"/>
    <x v="1"/>
    <s v="Compliance"/>
    <x v="5"/>
    <s v="Closeout"/>
    <s v="Closeout Task 02"/>
    <s v="High"/>
    <x v="2"/>
    <s v="Internal Team"/>
    <d v="2026-02-25T00:00:00"/>
    <d v="2026-03-13T00:00:00"/>
    <d v="2026-03-24T00:00:00"/>
    <x v="0"/>
    <n v="1"/>
    <n v="2100"/>
    <n v="2282.06"/>
    <n v="0"/>
    <n v="11"/>
    <n v="0"/>
    <n v="-182.05999999999995"/>
  </r>
  <r>
    <s v="TSK-0061"/>
    <s v="PRJ-1001"/>
    <x v="0"/>
    <x v="0"/>
    <s v="Facility Upgrade"/>
    <x v="0"/>
    <s v="Discovery"/>
    <s v="Discovery Task 03"/>
    <s v="Medium"/>
    <x v="0"/>
    <s v="BluePeak Services"/>
    <d v="2026-03-26T00:00:00"/>
    <d v="2026-04-20T00:00:00"/>
    <m/>
    <x v="0"/>
    <n v="0"/>
    <n v="9200"/>
    <n v="0"/>
    <n v="0"/>
    <s v=""/>
    <n v="0"/>
    <n v="9200"/>
  </r>
  <r>
    <s v="TSK-0062"/>
    <s v="PRJ-1002"/>
    <x v="1"/>
    <x v="1"/>
    <s v="Compliance"/>
    <x v="1"/>
    <s v="Planning"/>
    <s v="Planning Task 03"/>
    <s v="High"/>
    <x v="1"/>
    <s v="Vertex Systems"/>
    <d v="2025-07-01T00:00:00"/>
    <d v="2025-07-17T00:00:00"/>
    <d v="2025-07-18T00:00:00"/>
    <x v="0"/>
    <n v="1"/>
    <n v="27300"/>
    <n v="28221.85"/>
    <n v="4"/>
    <n v="1"/>
    <n v="0"/>
    <n v="-921.84999999999854"/>
  </r>
  <r>
    <s v="TSK-0063"/>
    <s v="PRJ-1003"/>
    <x v="2"/>
    <x v="2"/>
    <s v="Vendor Transition"/>
    <x v="2"/>
    <s v="Requirements"/>
    <s v="Requirements Task 03"/>
    <s v="Critical"/>
    <x v="0"/>
    <s v="Apex Solutions"/>
    <d v="2025-05-16T00:00:00"/>
    <d v="2025-06-06T00:00:00"/>
    <d v="2025-06-07T00:00:00"/>
    <x v="0"/>
    <n v="1"/>
    <n v="38500"/>
    <n v="39974.339999999997"/>
    <n v="2"/>
    <n v="1"/>
    <n v="0"/>
    <n v="-1474.3399999999965"/>
  </r>
  <r>
    <s v="TSK-0064"/>
    <s v="PRJ-1004"/>
    <x v="3"/>
    <x v="3"/>
    <s v="System Implementation"/>
    <x v="3"/>
    <s v="Configuration"/>
    <s v="Configuration Task 03"/>
    <s v="High"/>
    <x v="0"/>
    <s v="Summit Partners"/>
    <d v="2026-03-31T00:00:00"/>
    <d v="2026-04-20T00:00:00"/>
    <m/>
    <x v="0"/>
    <n v="0"/>
    <n v="42700"/>
    <n v="0"/>
    <n v="3"/>
    <s v=""/>
    <n v="0"/>
    <n v="42700"/>
  </r>
  <r>
    <s v="TSK-0065"/>
    <s v="PRJ-1005"/>
    <x v="4"/>
    <x v="4"/>
    <s v="Cost Reduction"/>
    <x v="4"/>
    <s v="Execution"/>
    <s v="Execution Task 03"/>
    <s v="Medium"/>
    <x v="2"/>
    <s v="Vertex Systems"/>
    <d v="2025-09-28T00:00:00"/>
    <d v="2025-10-15T00:00:00"/>
    <d v="2025-10-23T00:00:00"/>
    <x v="0"/>
    <n v="1"/>
    <n v="5500"/>
    <n v="5774.78"/>
    <n v="4"/>
    <n v="8"/>
    <n v="0"/>
    <n v="-274.77999999999975"/>
  </r>
  <r>
    <s v="TSK-0066"/>
    <s v="PRJ-1006"/>
    <x v="5"/>
    <x v="5"/>
    <s v="Automation"/>
    <x v="5"/>
    <s v="Testing"/>
    <s v="Testing Task 03"/>
    <s v="Medium"/>
    <x v="2"/>
    <s v="Apex Solutions"/>
    <d v="2025-09-23T00:00:00"/>
    <d v="2025-10-07T00:00:00"/>
    <m/>
    <x v="0"/>
    <n v="0.85"/>
    <n v="25400"/>
    <n v="24073.83"/>
    <n v="3"/>
    <s v=""/>
    <n v="0"/>
    <n v="1326.1699999999983"/>
  </r>
  <r>
    <s v="TSK-0067"/>
    <s v="PRJ-1007"/>
    <x v="6"/>
    <x v="6"/>
    <s v="Process Improvement"/>
    <x v="0"/>
    <s v="Training"/>
    <s v="Training Task 03"/>
    <s v="Medium"/>
    <x v="0"/>
    <s v="Vertex Systems"/>
    <d v="2025-07-19T00:00:00"/>
    <d v="2025-07-25T00:00:00"/>
    <d v="2025-08-06T00:00:00"/>
    <x v="0"/>
    <n v="1"/>
    <n v="9800"/>
    <n v="9494.7099999999991"/>
    <n v="1"/>
    <n v="12"/>
    <n v="0"/>
    <n v="305.29000000000087"/>
  </r>
  <r>
    <s v="TSK-0068"/>
    <s v="PRJ-1008"/>
    <x v="7"/>
    <x v="0"/>
    <s v="Facility Upgrade"/>
    <x v="1"/>
    <s v="Launch"/>
    <s v="Launch Task 03"/>
    <s v="High"/>
    <x v="2"/>
    <s v="Northstar Consulting"/>
    <d v="2025-04-12T00:00:00"/>
    <d v="2025-05-11T00:00:00"/>
    <m/>
    <x v="0"/>
    <n v="0.4"/>
    <n v="17200"/>
    <n v="16025.68"/>
    <n v="1"/>
    <s v=""/>
    <n v="0"/>
    <n v="1174.3199999999997"/>
  </r>
  <r>
    <s v="TSK-0069"/>
    <s v="PRJ-1009"/>
    <x v="8"/>
    <x v="1"/>
    <s v="Compliance"/>
    <x v="2"/>
    <s v="Closeout"/>
    <s v="Closeout Task 03"/>
    <s v="Medium"/>
    <x v="0"/>
    <s v="Internal Team"/>
    <d v="2026-04-02T00:00:00"/>
    <d v="2026-04-27T00:00:00"/>
    <m/>
    <x v="2"/>
    <n v="0.5"/>
    <n v="6000"/>
    <n v="7100.27"/>
    <n v="2"/>
    <s v=""/>
    <n v="0"/>
    <n v="-1100.2700000000004"/>
  </r>
  <r>
    <s v="TSK-0070"/>
    <s v="PRJ-1010"/>
    <x v="9"/>
    <x v="2"/>
    <s v="Vendor Transition"/>
    <x v="3"/>
    <s v="Discovery"/>
    <s v="Discovery Task 03"/>
    <s v="Medium"/>
    <x v="0"/>
    <s v="BluePeak Services"/>
    <d v="2025-05-02T00:00:00"/>
    <d v="2025-06-01T00:00:00"/>
    <d v="2025-06-03T00:00:00"/>
    <x v="0"/>
    <n v="1"/>
    <n v="37300"/>
    <n v="36739.440000000002"/>
    <n v="1"/>
    <n v="2"/>
    <n v="0"/>
    <n v="560.55999999999767"/>
  </r>
  <r>
    <s v="TSK-0071"/>
    <s v="PRJ-1011"/>
    <x v="10"/>
    <x v="3"/>
    <s v="System Implementation"/>
    <x v="4"/>
    <s v="Planning"/>
    <s v="Planning Task 03"/>
    <s v="High"/>
    <x v="0"/>
    <s v="Internal Team"/>
    <d v="2026-05-11T00:00:00"/>
    <d v="2026-05-23T00:00:00"/>
    <m/>
    <x v="3"/>
    <n v="0"/>
    <n v="12300"/>
    <n v="0"/>
    <n v="1"/>
    <s v=""/>
    <n v="0"/>
    <n v="12300"/>
  </r>
  <r>
    <s v="TSK-0072"/>
    <s v="PRJ-1012"/>
    <x v="11"/>
    <x v="4"/>
    <s v="Cost Reduction"/>
    <x v="5"/>
    <s v="Requirements"/>
    <s v="Requirements Task 03"/>
    <s v="High"/>
    <x v="2"/>
    <s v="Vertex Systems"/>
    <d v="2026-04-27T00:00:00"/>
    <d v="2026-05-14T00:00:00"/>
    <d v="2026-05-13T00:00:00"/>
    <x v="0"/>
    <n v="1"/>
    <n v="20200"/>
    <n v="23435.09"/>
    <n v="1"/>
    <n v="0"/>
    <n v="0"/>
    <n v="-3235.09"/>
  </r>
  <r>
    <s v="TSK-0073"/>
    <s v="PRJ-1013"/>
    <x v="12"/>
    <x v="5"/>
    <s v="Automation"/>
    <x v="0"/>
    <s v="Configuration"/>
    <s v="Configuration Task 03"/>
    <s v="Critical"/>
    <x v="0"/>
    <s v="Vertex Systems"/>
    <d v="2025-12-05T00:00:00"/>
    <d v="2025-12-16T00:00:00"/>
    <d v="2025-12-17T00:00:00"/>
    <x v="0"/>
    <n v="1"/>
    <n v="8300"/>
    <n v="8632.14"/>
    <n v="2"/>
    <n v="1"/>
    <n v="0"/>
    <n v="-332.13999999999942"/>
  </r>
  <r>
    <s v="TSK-0074"/>
    <s v="PRJ-1014"/>
    <x v="13"/>
    <x v="6"/>
    <s v="Process Improvement"/>
    <x v="1"/>
    <s v="Execution"/>
    <s v="Execution Task 03"/>
    <s v="Low"/>
    <x v="0"/>
    <s v="Northstar Consulting"/>
    <d v="2025-05-04T00:00:00"/>
    <d v="2025-05-08T00:00:00"/>
    <m/>
    <x v="2"/>
    <n v="0.85"/>
    <n v="13800"/>
    <n v="14446.73"/>
    <n v="1"/>
    <s v=""/>
    <n v="0"/>
    <n v="-646.72999999999956"/>
  </r>
  <r>
    <s v="TSK-0075"/>
    <s v="PRJ-1015"/>
    <x v="14"/>
    <x v="0"/>
    <s v="Facility Upgrade"/>
    <x v="2"/>
    <s v="Testing"/>
    <s v="Testing Task 03"/>
    <s v="Medium"/>
    <x v="0"/>
    <s v="Summit Partners"/>
    <d v="2026-04-03T00:00:00"/>
    <d v="2026-04-27T00:00:00"/>
    <d v="2026-04-30T00:00:00"/>
    <x v="0"/>
    <n v="1"/>
    <n v="11300"/>
    <n v="12107.09"/>
    <n v="2"/>
    <n v="3"/>
    <n v="0"/>
    <n v="-807.09000000000015"/>
  </r>
  <r>
    <s v="TSK-0076"/>
    <s v="PRJ-1016"/>
    <x v="15"/>
    <x v="1"/>
    <s v="Compliance"/>
    <x v="3"/>
    <s v="Training"/>
    <s v="Training Task 03"/>
    <s v="Medium"/>
    <x v="0"/>
    <s v="Summit Partners"/>
    <d v="2026-01-02T00:00:00"/>
    <d v="2026-01-14T00:00:00"/>
    <m/>
    <x v="2"/>
    <n v="0.6"/>
    <n v="31500"/>
    <n v="34322.6"/>
    <n v="0"/>
    <s v=""/>
    <n v="0"/>
    <n v="-2822.5999999999985"/>
  </r>
  <r>
    <s v="TSK-0077"/>
    <s v="PRJ-1017"/>
    <x v="16"/>
    <x v="2"/>
    <s v="Vendor Transition"/>
    <x v="4"/>
    <s v="Launch"/>
    <s v="Launch Task 03"/>
    <s v="Medium"/>
    <x v="0"/>
    <s v="Internal Team"/>
    <d v="2025-02-01T00:00:00"/>
    <d v="2025-02-17T00:00:00"/>
    <d v="2025-02-03T00:00:00"/>
    <x v="0"/>
    <n v="1"/>
    <n v="27800"/>
    <n v="30531.97"/>
    <n v="1"/>
    <n v="0"/>
    <n v="0"/>
    <n v="-2731.9700000000012"/>
  </r>
  <r>
    <s v="TSK-0078"/>
    <s v="PRJ-1018"/>
    <x v="17"/>
    <x v="3"/>
    <s v="System Implementation"/>
    <x v="5"/>
    <s v="Closeout"/>
    <s v="Closeout Task 03"/>
    <s v="High"/>
    <x v="1"/>
    <s v="Northstar Consulting"/>
    <d v="2025-01-26T00:00:00"/>
    <d v="2025-02-22T00:00:00"/>
    <d v="2025-02-24T00:00:00"/>
    <x v="0"/>
    <n v="1"/>
    <n v="34400"/>
    <n v="37884.269999999997"/>
    <n v="1"/>
    <n v="2"/>
    <n v="0"/>
    <n v="-3484.2699999999968"/>
  </r>
  <r>
    <s v="TSK-0079"/>
    <s v="PRJ-1019"/>
    <x v="18"/>
    <x v="4"/>
    <s v="Cost Reduction"/>
    <x v="0"/>
    <s v="Discovery"/>
    <s v="Discovery Task 03"/>
    <s v="Critical"/>
    <x v="0"/>
    <s v="Northstar Consulting"/>
    <d v="2025-06-27T00:00:00"/>
    <d v="2025-07-02T00:00:00"/>
    <d v="2025-07-06T00:00:00"/>
    <x v="0"/>
    <n v="1"/>
    <n v="19300"/>
    <n v="19255.09"/>
    <n v="2"/>
    <n v="4"/>
    <n v="0"/>
    <n v="44.909999999999854"/>
  </r>
  <r>
    <s v="TSK-0080"/>
    <s v="PRJ-1020"/>
    <x v="19"/>
    <x v="5"/>
    <s v="Automation"/>
    <x v="1"/>
    <s v="Planning"/>
    <s v="Planning Task 03"/>
    <s v="Medium"/>
    <x v="0"/>
    <s v="Apex Solutions"/>
    <d v="2025-08-07T00:00:00"/>
    <d v="2025-09-05T00:00:00"/>
    <d v="2025-09-10T00:00:00"/>
    <x v="0"/>
    <n v="1"/>
    <n v="12500"/>
    <n v="12884.93"/>
    <n v="3"/>
    <n v="5"/>
    <n v="0"/>
    <n v="-384.93000000000029"/>
  </r>
  <r>
    <s v="TSK-0081"/>
    <s v="PRJ-1021"/>
    <x v="20"/>
    <x v="6"/>
    <s v="Process Improvement"/>
    <x v="2"/>
    <s v="Requirements"/>
    <s v="Requirements Task 03"/>
    <s v="High"/>
    <x v="2"/>
    <s v="Internal Team"/>
    <d v="2025-09-20T00:00:00"/>
    <d v="2025-10-07T00:00:00"/>
    <m/>
    <x v="2"/>
    <n v="0.4"/>
    <n v="24100"/>
    <n v="27618.81"/>
    <n v="1"/>
    <s v=""/>
    <n v="0"/>
    <n v="-3518.8100000000013"/>
  </r>
  <r>
    <s v="TSK-0082"/>
    <s v="PRJ-1022"/>
    <x v="21"/>
    <x v="0"/>
    <s v="Facility Upgrade"/>
    <x v="3"/>
    <s v="Configuration"/>
    <s v="Configuration Task 03"/>
    <s v="Medium"/>
    <x v="0"/>
    <s v="Internal Team"/>
    <d v="2025-10-24T00:00:00"/>
    <d v="2025-11-05T00:00:00"/>
    <m/>
    <x v="2"/>
    <n v="0.85"/>
    <n v="22600"/>
    <n v="21017.7"/>
    <n v="3"/>
    <s v=""/>
    <n v="0"/>
    <n v="1582.2999999999993"/>
  </r>
  <r>
    <s v="TSK-0083"/>
    <s v="PRJ-1023"/>
    <x v="22"/>
    <x v="1"/>
    <s v="Compliance"/>
    <x v="4"/>
    <s v="Execution"/>
    <s v="Execution Task 03"/>
    <s v="High"/>
    <x v="2"/>
    <s v="Internal Team"/>
    <d v="2025-11-13T00:00:00"/>
    <d v="2025-12-03T00:00:00"/>
    <m/>
    <x v="2"/>
    <n v="0.4"/>
    <n v="44700"/>
    <n v="46844.87"/>
    <n v="3"/>
    <s v=""/>
    <n v="0"/>
    <n v="-2144.8700000000026"/>
  </r>
  <r>
    <s v="TSK-0084"/>
    <s v="PRJ-1024"/>
    <x v="23"/>
    <x v="2"/>
    <s v="Vendor Transition"/>
    <x v="5"/>
    <s v="Testing"/>
    <s v="Testing Task 03"/>
    <s v="Low"/>
    <x v="2"/>
    <s v="Apex Solutions"/>
    <d v="2025-04-03T00:00:00"/>
    <d v="2025-04-22T00:00:00"/>
    <d v="2025-04-20T00:00:00"/>
    <x v="0"/>
    <n v="1"/>
    <n v="19600"/>
    <n v="17569.25"/>
    <n v="2"/>
    <n v="0"/>
    <n v="0"/>
    <n v="2030.75"/>
  </r>
  <r>
    <s v="TSK-0085"/>
    <s v="PRJ-1025"/>
    <x v="24"/>
    <x v="3"/>
    <s v="System Implementation"/>
    <x v="0"/>
    <s v="Training"/>
    <s v="Training Task 03"/>
    <s v="Medium"/>
    <x v="0"/>
    <s v="Internal Team"/>
    <d v="2026-02-27T00:00:00"/>
    <d v="2026-03-25T00:00:00"/>
    <d v="2026-03-31T00:00:00"/>
    <x v="0"/>
    <n v="1"/>
    <n v="35900"/>
    <n v="34223.25"/>
    <n v="0"/>
    <n v="6"/>
    <n v="0"/>
    <n v="1676.75"/>
  </r>
  <r>
    <s v="TSK-0086"/>
    <s v="PRJ-1026"/>
    <x v="25"/>
    <x v="4"/>
    <s v="Cost Reduction"/>
    <x v="1"/>
    <s v="Launch"/>
    <s v="Launch Task 03"/>
    <s v="Medium"/>
    <x v="2"/>
    <s v="Internal Team"/>
    <d v="2025-07-02T00:00:00"/>
    <d v="2025-07-31T00:00:00"/>
    <d v="2025-08-10T00:00:00"/>
    <x v="0"/>
    <n v="1"/>
    <n v="45000"/>
    <n v="43098.22"/>
    <n v="2"/>
    <n v="10"/>
    <n v="0"/>
    <n v="1901.7799999999988"/>
  </r>
  <r>
    <s v="TSK-0087"/>
    <s v="PRJ-1027"/>
    <x v="26"/>
    <x v="5"/>
    <s v="Automation"/>
    <x v="2"/>
    <s v="Closeout"/>
    <s v="Closeout Task 03"/>
    <s v="Medium"/>
    <x v="0"/>
    <s v="Apex Solutions"/>
    <d v="2026-05-26T00:00:00"/>
    <d v="2026-06-10T00:00:00"/>
    <m/>
    <x v="2"/>
    <n v="0.5"/>
    <n v="39300"/>
    <n v="43256.29"/>
    <n v="1"/>
    <s v=""/>
    <n v="0"/>
    <n v="-3956.2900000000009"/>
  </r>
  <r>
    <s v="TSK-0088"/>
    <s v="PRJ-1028"/>
    <x v="27"/>
    <x v="6"/>
    <s v="Process Improvement"/>
    <x v="3"/>
    <s v="Discovery"/>
    <s v="Discovery Task 03"/>
    <s v="Medium"/>
    <x v="1"/>
    <s v="Internal Team"/>
    <d v="2026-02-23T00:00:00"/>
    <d v="2026-03-21T00:00:00"/>
    <d v="2026-03-29T00:00:00"/>
    <x v="0"/>
    <n v="1"/>
    <n v="44500"/>
    <n v="45132.93"/>
    <n v="3"/>
    <n v="8"/>
    <n v="0"/>
    <n v="-632.93000000000029"/>
  </r>
  <r>
    <s v="TSK-0089"/>
    <s v="PRJ-1029"/>
    <x v="28"/>
    <x v="0"/>
    <s v="Facility Upgrade"/>
    <x v="4"/>
    <s v="Planning"/>
    <s v="Planning Task 03"/>
    <s v="Medium"/>
    <x v="1"/>
    <s v="Internal Team"/>
    <d v="2026-03-25T00:00:00"/>
    <d v="2026-04-24T00:00:00"/>
    <m/>
    <x v="3"/>
    <n v="0"/>
    <n v="38300"/>
    <n v="0"/>
    <n v="5"/>
    <s v=""/>
    <n v="0"/>
    <n v="38300"/>
  </r>
  <r>
    <s v="TSK-0090"/>
    <s v="PRJ-1030"/>
    <x v="29"/>
    <x v="1"/>
    <s v="Compliance"/>
    <x v="5"/>
    <s v="Configuration"/>
    <s v="Configuration Task 03"/>
    <s v="Low"/>
    <x v="0"/>
    <s v="Summit Partners"/>
    <d v="2025-11-20T00:00:00"/>
    <d v="2025-11-25T00:00:00"/>
    <d v="2025-12-06T00:00:00"/>
    <x v="0"/>
    <n v="1"/>
    <n v="43700"/>
    <n v="40673.72"/>
    <n v="3"/>
    <n v="11"/>
    <n v="0"/>
    <n v="3026.2799999999988"/>
  </r>
  <r>
    <s v="TSK-0091"/>
    <s v="PRJ-1001"/>
    <x v="0"/>
    <x v="0"/>
    <s v="Facility Upgrade"/>
    <x v="0"/>
    <s v="Execution"/>
    <s v="Execution Task 04"/>
    <s v="High"/>
    <x v="1"/>
    <s v="Summit Partners"/>
    <d v="2026-04-14T00:00:00"/>
    <d v="2026-04-29T00:00:00"/>
    <m/>
    <x v="0"/>
    <n v="0.5"/>
    <n v="39400"/>
    <n v="43748.39"/>
    <n v="3"/>
    <s v=""/>
    <n v="0"/>
    <n v="-4348.3899999999994"/>
  </r>
  <r>
    <s v="TSK-0092"/>
    <s v="PRJ-1002"/>
    <x v="1"/>
    <x v="1"/>
    <s v="Compliance"/>
    <x v="1"/>
    <s v="Testing"/>
    <s v="Testing Task 04"/>
    <s v="High"/>
    <x v="1"/>
    <s v="BluePeak Services"/>
    <d v="2025-03-27T00:00:00"/>
    <d v="2025-04-12T00:00:00"/>
    <m/>
    <x v="0"/>
    <n v="0.1"/>
    <n v="20800"/>
    <n v="20551.09"/>
    <n v="0"/>
    <s v=""/>
    <n v="0"/>
    <n v="248.90999999999985"/>
  </r>
  <r>
    <s v="TSK-0093"/>
    <s v="PRJ-1003"/>
    <x v="2"/>
    <x v="2"/>
    <s v="Vendor Transition"/>
    <x v="2"/>
    <s v="Training"/>
    <s v="Training Task 04"/>
    <s v="Low"/>
    <x v="2"/>
    <s v="Internal Team"/>
    <d v="2025-04-23T00:00:00"/>
    <d v="2025-05-09T00:00:00"/>
    <m/>
    <x v="0"/>
    <n v="0"/>
    <n v="24600"/>
    <n v="0"/>
    <n v="1"/>
    <s v=""/>
    <n v="0"/>
    <n v="24600"/>
  </r>
  <r>
    <s v="TSK-0094"/>
    <s v="PRJ-1004"/>
    <x v="3"/>
    <x v="3"/>
    <s v="System Implementation"/>
    <x v="3"/>
    <s v="Launch"/>
    <s v="Launch Task 04"/>
    <s v="Medium"/>
    <x v="0"/>
    <s v="Summit Partners"/>
    <d v="2026-03-22T00:00:00"/>
    <d v="2026-04-09T00:00:00"/>
    <d v="2026-04-16T00:00:00"/>
    <x v="0"/>
    <n v="1"/>
    <n v="12500"/>
    <n v="13947.02"/>
    <n v="1"/>
    <n v="7"/>
    <n v="0"/>
    <n v="-1447.0200000000004"/>
  </r>
  <r>
    <s v="TSK-0095"/>
    <s v="PRJ-1005"/>
    <x v="4"/>
    <x v="4"/>
    <s v="Cost Reduction"/>
    <x v="4"/>
    <s v="Closeout"/>
    <s v="Closeout Task 04"/>
    <s v="High"/>
    <x v="1"/>
    <s v="Vertex Systems"/>
    <d v="2025-07-05T00:00:00"/>
    <d v="2025-07-10T00:00:00"/>
    <m/>
    <x v="0"/>
    <n v="0.5"/>
    <n v="44500"/>
    <n v="48287.28"/>
    <n v="2"/>
    <s v=""/>
    <n v="0"/>
    <n v="-3787.2799999999988"/>
  </r>
  <r>
    <s v="TSK-0096"/>
    <s v="PRJ-1006"/>
    <x v="5"/>
    <x v="5"/>
    <s v="Automation"/>
    <x v="5"/>
    <s v="Discovery"/>
    <s v="Discovery Task 04"/>
    <s v="High"/>
    <x v="0"/>
    <s v="Internal Team"/>
    <d v="2025-08-17T00:00:00"/>
    <d v="2025-09-16T00:00:00"/>
    <d v="2025-10-05T00:00:00"/>
    <x v="0"/>
    <n v="1"/>
    <n v="11800"/>
    <n v="10508.83"/>
    <n v="0"/>
    <n v="19"/>
    <n v="0"/>
    <n v="1291.17"/>
  </r>
  <r>
    <s v="TSK-0097"/>
    <s v="PRJ-1007"/>
    <x v="6"/>
    <x v="6"/>
    <s v="Process Improvement"/>
    <x v="0"/>
    <s v="Planning"/>
    <s v="Planning Task 04"/>
    <s v="Critical"/>
    <x v="0"/>
    <s v="BluePeak Services"/>
    <d v="2025-08-09T00:00:00"/>
    <d v="2025-08-20T00:00:00"/>
    <m/>
    <x v="0"/>
    <n v="0"/>
    <n v="39100"/>
    <n v="0"/>
    <n v="0"/>
    <s v=""/>
    <n v="0"/>
    <n v="39100"/>
  </r>
  <r>
    <s v="TSK-0098"/>
    <s v="PRJ-1008"/>
    <x v="7"/>
    <x v="0"/>
    <s v="Facility Upgrade"/>
    <x v="1"/>
    <s v="Requirements"/>
    <s v="Requirements Task 04"/>
    <s v="Critical"/>
    <x v="2"/>
    <s v="Summit Partners"/>
    <d v="2025-05-30T00:00:00"/>
    <d v="2025-06-26T00:00:00"/>
    <d v="2025-06-23T00:00:00"/>
    <x v="0"/>
    <n v="1"/>
    <n v="29200"/>
    <n v="27918.57"/>
    <n v="0"/>
    <n v="0"/>
    <n v="0"/>
    <n v="1281.4300000000003"/>
  </r>
  <r>
    <s v="TSK-0099"/>
    <s v="PRJ-1009"/>
    <x v="8"/>
    <x v="1"/>
    <s v="Compliance"/>
    <x v="2"/>
    <s v="Configuration"/>
    <s v="Configuration Task 04"/>
    <s v="High"/>
    <x v="2"/>
    <s v="Summit Partners"/>
    <d v="2026-02-11T00:00:00"/>
    <d v="2026-03-06T00:00:00"/>
    <d v="2026-03-01T00:00:00"/>
    <x v="0"/>
    <n v="1"/>
    <n v="14900"/>
    <n v="13187.82"/>
    <n v="2"/>
    <n v="0"/>
    <n v="0"/>
    <n v="1712.1800000000003"/>
  </r>
  <r>
    <s v="TSK-0100"/>
    <s v="PRJ-1010"/>
    <x v="9"/>
    <x v="2"/>
    <s v="Vendor Transition"/>
    <x v="3"/>
    <s v="Execution"/>
    <s v="Execution Task 04"/>
    <s v="High"/>
    <x v="0"/>
    <s v="Internal Team"/>
    <d v="2025-06-13T00:00:00"/>
    <d v="2025-06-21T00:00:00"/>
    <m/>
    <x v="2"/>
    <n v="0.9"/>
    <n v="25000"/>
    <n v="28829.23"/>
    <n v="1"/>
    <s v=""/>
    <n v="0"/>
    <n v="-3829.2299999999996"/>
  </r>
  <r>
    <s v="TSK-0101"/>
    <s v="PRJ-1011"/>
    <x v="10"/>
    <x v="3"/>
    <s v="System Implementation"/>
    <x v="4"/>
    <s v="Testing"/>
    <s v="Testing Task 04"/>
    <s v="Critical"/>
    <x v="2"/>
    <s v="Internal Team"/>
    <d v="2026-04-20T00:00:00"/>
    <d v="2026-05-18T00:00:00"/>
    <m/>
    <x v="2"/>
    <n v="0.9"/>
    <n v="16200"/>
    <n v="19951.669999999998"/>
    <n v="4"/>
    <s v=""/>
    <n v="0"/>
    <n v="-3751.6699999999983"/>
  </r>
  <r>
    <s v="TSK-0102"/>
    <s v="PRJ-1012"/>
    <x v="11"/>
    <x v="4"/>
    <s v="Cost Reduction"/>
    <x v="5"/>
    <s v="Training"/>
    <s v="Training Task 04"/>
    <s v="Medium"/>
    <x v="1"/>
    <s v="Summit Partners"/>
    <d v="2026-05-01T00:00:00"/>
    <d v="2026-05-31T00:00:00"/>
    <d v="2026-05-25T00:00:00"/>
    <x v="0"/>
    <n v="1"/>
    <n v="2100"/>
    <n v="2552.13"/>
    <n v="2"/>
    <n v="0"/>
    <n v="0"/>
    <n v="-452.13000000000011"/>
  </r>
  <r>
    <s v="TSK-0103"/>
    <s v="PRJ-1013"/>
    <x v="12"/>
    <x v="5"/>
    <s v="Automation"/>
    <x v="0"/>
    <s v="Launch"/>
    <s v="Launch Task 04"/>
    <s v="High"/>
    <x v="2"/>
    <s v="Northstar Consulting"/>
    <d v="2026-01-15T00:00:00"/>
    <d v="2026-01-21T00:00:00"/>
    <d v="2026-01-21T00:00:00"/>
    <x v="0"/>
    <n v="1"/>
    <n v="22000"/>
    <n v="18203.939999999999"/>
    <n v="0"/>
    <n v="0"/>
    <n v="0"/>
    <n v="3796.0600000000013"/>
  </r>
  <r>
    <s v="TSK-0104"/>
    <s v="PRJ-1014"/>
    <x v="13"/>
    <x v="6"/>
    <s v="Process Improvement"/>
    <x v="1"/>
    <s v="Closeout"/>
    <s v="Closeout Task 04"/>
    <s v="Medium"/>
    <x v="2"/>
    <s v="Northstar Consulting"/>
    <d v="2025-06-17T00:00:00"/>
    <d v="2025-07-12T00:00:00"/>
    <m/>
    <x v="2"/>
    <n v="0.6"/>
    <n v="6600"/>
    <n v="6923.88"/>
    <n v="2"/>
    <s v=""/>
    <n v="0"/>
    <n v="-323.88000000000011"/>
  </r>
  <r>
    <s v="TSK-0105"/>
    <s v="PRJ-1015"/>
    <x v="14"/>
    <x v="0"/>
    <s v="Facility Upgrade"/>
    <x v="2"/>
    <s v="Discovery"/>
    <s v="Discovery Task 04"/>
    <s v="Critical"/>
    <x v="0"/>
    <s v="Internal Team"/>
    <d v="2026-03-21T00:00:00"/>
    <d v="2026-03-28T00:00:00"/>
    <m/>
    <x v="2"/>
    <n v="0.5"/>
    <n v="30700"/>
    <n v="30962.46"/>
    <n v="0"/>
    <s v=""/>
    <n v="0"/>
    <n v="-262.45999999999913"/>
  </r>
  <r>
    <s v="TSK-0106"/>
    <s v="PRJ-1016"/>
    <x v="15"/>
    <x v="1"/>
    <s v="Compliance"/>
    <x v="3"/>
    <s v="Planning"/>
    <s v="Planning Task 04"/>
    <s v="Medium"/>
    <x v="2"/>
    <s v="Internal Team"/>
    <d v="2025-11-24T00:00:00"/>
    <d v="2025-12-17T00:00:00"/>
    <m/>
    <x v="3"/>
    <n v="0"/>
    <n v="22800"/>
    <n v="0"/>
    <n v="3"/>
    <s v=""/>
    <n v="0"/>
    <n v="22800"/>
  </r>
  <r>
    <s v="TSK-0107"/>
    <s v="PRJ-1017"/>
    <x v="16"/>
    <x v="2"/>
    <s v="Vendor Transition"/>
    <x v="4"/>
    <s v="Requirements"/>
    <s v="Requirements Task 04"/>
    <s v="Low"/>
    <x v="0"/>
    <s v="Internal Team"/>
    <d v="2025-03-23T00:00:00"/>
    <d v="2025-04-22T00:00:00"/>
    <m/>
    <x v="2"/>
    <n v="0.85"/>
    <n v="17500"/>
    <n v="20108.03"/>
    <n v="0"/>
    <s v=""/>
    <n v="0"/>
    <n v="-2608.0299999999988"/>
  </r>
  <r>
    <s v="TSK-0108"/>
    <s v="PRJ-1018"/>
    <x v="17"/>
    <x v="3"/>
    <s v="System Implementation"/>
    <x v="5"/>
    <s v="Configuration"/>
    <s v="Configuration Task 04"/>
    <s v="Low"/>
    <x v="0"/>
    <s v="BluePeak Services"/>
    <d v="2025-05-17T00:00:00"/>
    <d v="2025-05-22T00:00:00"/>
    <d v="2025-05-18T00:00:00"/>
    <x v="0"/>
    <n v="1"/>
    <n v="2400"/>
    <n v="2171.29"/>
    <n v="1"/>
    <n v="0"/>
    <n v="0"/>
    <n v="228.71000000000004"/>
  </r>
  <r>
    <s v="TSK-0109"/>
    <s v="PRJ-1019"/>
    <x v="18"/>
    <x v="4"/>
    <s v="Cost Reduction"/>
    <x v="0"/>
    <s v="Execution"/>
    <s v="Execution Task 04"/>
    <s v="Medium"/>
    <x v="2"/>
    <s v="Internal Team"/>
    <d v="2025-07-13T00:00:00"/>
    <d v="2025-07-22T00:00:00"/>
    <d v="2025-07-19T00:00:00"/>
    <x v="0"/>
    <n v="1"/>
    <n v="36900"/>
    <n v="38384.79"/>
    <n v="4"/>
    <n v="0"/>
    <n v="0"/>
    <n v="-1484.7900000000009"/>
  </r>
  <r>
    <s v="TSK-0110"/>
    <s v="PRJ-1020"/>
    <x v="19"/>
    <x v="5"/>
    <s v="Automation"/>
    <x v="1"/>
    <s v="Testing"/>
    <s v="Testing Task 04"/>
    <s v="High"/>
    <x v="2"/>
    <s v="Internal Team"/>
    <d v="2025-06-03T00:00:00"/>
    <d v="2025-06-10T00:00:00"/>
    <d v="2025-06-13T00:00:00"/>
    <x v="0"/>
    <n v="1"/>
    <n v="39200"/>
    <n v="37998.959999999999"/>
    <n v="3"/>
    <n v="3"/>
    <n v="0"/>
    <n v="1201.0400000000009"/>
  </r>
  <r>
    <s v="TSK-0111"/>
    <s v="PRJ-1021"/>
    <x v="20"/>
    <x v="6"/>
    <s v="Process Improvement"/>
    <x v="2"/>
    <s v="Training"/>
    <s v="Training Task 04"/>
    <s v="High"/>
    <x v="2"/>
    <s v="Internal Team"/>
    <d v="2025-07-11T00:00:00"/>
    <d v="2025-07-15T00:00:00"/>
    <m/>
    <x v="3"/>
    <n v="0"/>
    <n v="19800"/>
    <n v="0"/>
    <n v="2"/>
    <s v=""/>
    <n v="0"/>
    <n v="19800"/>
  </r>
  <r>
    <s v="TSK-0112"/>
    <s v="PRJ-1022"/>
    <x v="21"/>
    <x v="0"/>
    <s v="Facility Upgrade"/>
    <x v="3"/>
    <s v="Launch"/>
    <s v="Launch Task 04"/>
    <s v="Medium"/>
    <x v="0"/>
    <s v="Northstar Consulting"/>
    <d v="2026-01-14T00:00:00"/>
    <d v="2026-02-02T00:00:00"/>
    <m/>
    <x v="2"/>
    <n v="0.75"/>
    <n v="3400"/>
    <n v="3556.77"/>
    <n v="2"/>
    <s v=""/>
    <n v="0"/>
    <n v="-156.76999999999998"/>
  </r>
  <r>
    <s v="TSK-0113"/>
    <s v="PRJ-1023"/>
    <x v="22"/>
    <x v="1"/>
    <s v="Compliance"/>
    <x v="4"/>
    <s v="Closeout"/>
    <s v="Closeout Task 04"/>
    <s v="Medium"/>
    <x v="0"/>
    <s v="BluePeak Services"/>
    <d v="2025-11-25T00:00:00"/>
    <d v="2025-12-13T00:00:00"/>
    <d v="2025-12-01T00:00:00"/>
    <x v="0"/>
    <n v="1"/>
    <n v="20000"/>
    <n v="23104.28"/>
    <n v="2"/>
    <n v="0"/>
    <n v="0"/>
    <n v="-3104.2799999999988"/>
  </r>
  <r>
    <s v="TSK-0114"/>
    <s v="PRJ-1024"/>
    <x v="23"/>
    <x v="2"/>
    <s v="Vendor Transition"/>
    <x v="5"/>
    <s v="Discovery"/>
    <s v="Discovery Task 04"/>
    <s v="Medium"/>
    <x v="1"/>
    <s v="Internal Team"/>
    <d v="2025-02-25T00:00:00"/>
    <d v="2025-03-02T00:00:00"/>
    <m/>
    <x v="3"/>
    <n v="0"/>
    <n v="28700"/>
    <n v="0"/>
    <n v="2"/>
    <s v=""/>
    <n v="0"/>
    <n v="28700"/>
  </r>
  <r>
    <s v="TSK-0115"/>
    <s v="PRJ-1025"/>
    <x v="24"/>
    <x v="3"/>
    <s v="System Implementation"/>
    <x v="0"/>
    <s v="Planning"/>
    <s v="Planning Task 04"/>
    <s v="Medium"/>
    <x v="2"/>
    <s v="Internal Team"/>
    <d v="2026-02-26T00:00:00"/>
    <d v="2026-03-20T00:00:00"/>
    <m/>
    <x v="2"/>
    <n v="0.9"/>
    <n v="32000"/>
    <n v="35713.79"/>
    <n v="0"/>
    <s v=""/>
    <n v="0"/>
    <n v="-3713.7900000000009"/>
  </r>
  <r>
    <s v="TSK-0116"/>
    <s v="PRJ-1026"/>
    <x v="25"/>
    <x v="4"/>
    <s v="Cost Reduction"/>
    <x v="1"/>
    <s v="Requirements"/>
    <s v="Requirements Task 04"/>
    <s v="High"/>
    <x v="2"/>
    <s v="Internal Team"/>
    <d v="2025-08-10T00:00:00"/>
    <d v="2025-08-20T00:00:00"/>
    <m/>
    <x v="2"/>
    <n v="0.9"/>
    <n v="21200"/>
    <n v="20723.43"/>
    <n v="2"/>
    <s v=""/>
    <n v="0"/>
    <n v="476.56999999999971"/>
  </r>
  <r>
    <s v="TSK-0117"/>
    <s v="PRJ-1027"/>
    <x v="26"/>
    <x v="5"/>
    <s v="Automation"/>
    <x v="2"/>
    <s v="Configuration"/>
    <s v="Configuration Task 04"/>
    <s v="Medium"/>
    <x v="2"/>
    <s v="Internal Team"/>
    <d v="2026-02-15T00:00:00"/>
    <d v="2026-03-11T00:00:00"/>
    <d v="2026-03-25T00:00:00"/>
    <x v="0"/>
    <n v="1"/>
    <n v="5600"/>
    <n v="6188.17"/>
    <n v="3"/>
    <n v="14"/>
    <n v="0"/>
    <n v="-588.17000000000007"/>
  </r>
  <r>
    <s v="TSK-0118"/>
    <s v="PRJ-1028"/>
    <x v="27"/>
    <x v="6"/>
    <s v="Process Improvement"/>
    <x v="3"/>
    <s v="Execution"/>
    <s v="Execution Task 04"/>
    <s v="High"/>
    <x v="2"/>
    <s v="Northstar Consulting"/>
    <d v="2026-04-26T00:00:00"/>
    <d v="2026-05-16T00:00:00"/>
    <m/>
    <x v="2"/>
    <n v="0.25"/>
    <n v="19400"/>
    <n v="21781.77"/>
    <n v="4"/>
    <s v=""/>
    <n v="0"/>
    <n v="-2381.7700000000004"/>
  </r>
  <r>
    <s v="TSK-0119"/>
    <s v="PRJ-1029"/>
    <x v="28"/>
    <x v="0"/>
    <s v="Facility Upgrade"/>
    <x v="4"/>
    <s v="Testing"/>
    <s v="Testing Task 04"/>
    <s v="Medium"/>
    <x v="1"/>
    <s v="Internal Team"/>
    <d v="2026-03-14T00:00:00"/>
    <d v="2026-04-05T00:00:00"/>
    <m/>
    <x v="2"/>
    <n v="0.25"/>
    <n v="26600"/>
    <n v="23494.7"/>
    <n v="3"/>
    <s v=""/>
    <n v="0"/>
    <n v="3105.2999999999993"/>
  </r>
  <r>
    <s v="TSK-0120"/>
    <s v="PRJ-1030"/>
    <x v="29"/>
    <x v="1"/>
    <s v="Compliance"/>
    <x v="5"/>
    <s v="Launch"/>
    <s v="Launch Task 04"/>
    <s v="Medium"/>
    <x v="0"/>
    <s v="Summit Partners"/>
    <d v="2026-01-14T00:00:00"/>
    <d v="2026-01-20T00:00:00"/>
    <d v="2026-02-01T00:00:00"/>
    <x v="0"/>
    <n v="1"/>
    <n v="26500"/>
    <n v="29010.95"/>
    <n v="0"/>
    <n v="12"/>
    <n v="0"/>
    <n v="-2510.9500000000007"/>
  </r>
  <r>
    <s v="TSK-0121"/>
    <s v="PRJ-1001"/>
    <x v="0"/>
    <x v="0"/>
    <s v="Facility Upgrade"/>
    <x v="0"/>
    <s v="Closeout"/>
    <s v="Closeout Task 05"/>
    <s v="Critical"/>
    <x v="2"/>
    <s v="Northstar Consulting"/>
    <d v="2026-04-20T00:00:00"/>
    <d v="2026-04-23T00:00:00"/>
    <d v="2026-04-19T00:00:00"/>
    <x v="0"/>
    <n v="1"/>
    <n v="2800"/>
    <n v="2459.58"/>
    <n v="1"/>
    <n v="0"/>
    <n v="0"/>
    <n v="340.42000000000007"/>
  </r>
  <r>
    <s v="TSK-0122"/>
    <s v="PRJ-1002"/>
    <x v="1"/>
    <x v="1"/>
    <s v="Compliance"/>
    <x v="1"/>
    <s v="Discovery"/>
    <s v="Discovery Task 05"/>
    <s v="Critical"/>
    <x v="0"/>
    <s v="Internal Team"/>
    <d v="2025-04-09T00:00:00"/>
    <d v="2025-04-30T00:00:00"/>
    <d v="2025-05-14T00:00:00"/>
    <x v="0"/>
    <n v="1"/>
    <n v="4500"/>
    <n v="4515"/>
    <n v="0"/>
    <n v="14"/>
    <n v="0"/>
    <n v="-15"/>
  </r>
  <r>
    <s v="TSK-0123"/>
    <s v="PRJ-1003"/>
    <x v="2"/>
    <x v="2"/>
    <s v="Vendor Transition"/>
    <x v="2"/>
    <s v="Planning"/>
    <s v="Planning Task 05"/>
    <s v="Low"/>
    <x v="2"/>
    <s v="Internal Team"/>
    <d v="2025-05-14T00:00:00"/>
    <d v="2025-05-27T00:00:00"/>
    <m/>
    <x v="0"/>
    <n v="0"/>
    <n v="15100"/>
    <n v="0"/>
    <n v="4"/>
    <s v=""/>
    <n v="0"/>
    <n v="15100"/>
  </r>
  <r>
    <s v="TSK-0124"/>
    <s v="PRJ-1004"/>
    <x v="3"/>
    <x v="3"/>
    <s v="System Implementation"/>
    <x v="3"/>
    <s v="Requirements"/>
    <s v="Requirements Task 05"/>
    <s v="High"/>
    <x v="1"/>
    <s v="Internal Team"/>
    <d v="2026-02-01T00:00:00"/>
    <d v="2026-02-25T00:00:00"/>
    <m/>
    <x v="0"/>
    <n v="0"/>
    <n v="20800"/>
    <n v="0"/>
    <n v="4"/>
    <s v=""/>
    <n v="0"/>
    <n v="20800"/>
  </r>
  <r>
    <s v="TSK-0125"/>
    <s v="PRJ-1005"/>
    <x v="4"/>
    <x v="4"/>
    <s v="Cost Reduction"/>
    <x v="4"/>
    <s v="Configuration"/>
    <s v="Configuration Task 05"/>
    <s v="Medium"/>
    <x v="0"/>
    <s v="Apex Solutions"/>
    <d v="2025-08-22T00:00:00"/>
    <d v="2025-09-07T00:00:00"/>
    <m/>
    <x v="0"/>
    <n v="0"/>
    <n v="31000"/>
    <n v="0"/>
    <n v="0"/>
    <s v=""/>
    <n v="0"/>
    <n v="31000"/>
  </r>
  <r>
    <s v="TSK-0126"/>
    <s v="PRJ-1006"/>
    <x v="5"/>
    <x v="5"/>
    <s v="Automation"/>
    <x v="5"/>
    <s v="Execution"/>
    <s v="Execution Task 05"/>
    <s v="Medium"/>
    <x v="0"/>
    <s v="BluePeak Services"/>
    <d v="2025-05-25T00:00:00"/>
    <d v="2025-05-28T00:00:00"/>
    <m/>
    <x v="0"/>
    <n v="0.4"/>
    <n v="34900"/>
    <n v="35880.01"/>
    <n v="0"/>
    <s v=""/>
    <n v="0"/>
    <n v="-980.01000000000204"/>
  </r>
  <r>
    <s v="TSK-0127"/>
    <s v="PRJ-1007"/>
    <x v="6"/>
    <x v="6"/>
    <s v="Process Improvement"/>
    <x v="0"/>
    <s v="Testing"/>
    <s v="Testing Task 05"/>
    <s v="Low"/>
    <x v="0"/>
    <s v="Internal Team"/>
    <d v="2025-06-02T00:00:00"/>
    <d v="2025-06-17T00:00:00"/>
    <d v="2025-06-20T00:00:00"/>
    <x v="0"/>
    <n v="1"/>
    <n v="30600"/>
    <n v="35483.97"/>
    <n v="0"/>
    <n v="3"/>
    <n v="0"/>
    <n v="-4883.9700000000012"/>
  </r>
  <r>
    <s v="TSK-0128"/>
    <s v="PRJ-1008"/>
    <x v="7"/>
    <x v="0"/>
    <s v="Facility Upgrade"/>
    <x v="1"/>
    <s v="Training"/>
    <s v="Training Task 05"/>
    <s v="High"/>
    <x v="0"/>
    <s v="Apex Solutions"/>
    <d v="2025-04-06T00:00:00"/>
    <d v="2025-05-06T00:00:00"/>
    <m/>
    <x v="0"/>
    <n v="0.6"/>
    <n v="26400"/>
    <n v="29245.57"/>
    <n v="1"/>
    <s v=""/>
    <n v="0"/>
    <n v="-2845.5699999999997"/>
  </r>
  <r>
    <s v="TSK-0129"/>
    <s v="PRJ-1009"/>
    <x v="8"/>
    <x v="1"/>
    <s v="Compliance"/>
    <x v="2"/>
    <s v="Launch"/>
    <s v="Launch Task 05"/>
    <s v="Low"/>
    <x v="0"/>
    <s v="Internal Team"/>
    <d v="2026-05-15T00:00:00"/>
    <d v="2026-06-13T00:00:00"/>
    <d v="2026-06-08T00:00:00"/>
    <x v="0"/>
    <n v="1"/>
    <n v="17200"/>
    <n v="16718.79"/>
    <n v="1"/>
    <n v="0"/>
    <n v="0"/>
    <n v="481.20999999999913"/>
  </r>
  <r>
    <s v="TSK-0130"/>
    <s v="PRJ-1010"/>
    <x v="9"/>
    <x v="2"/>
    <s v="Vendor Transition"/>
    <x v="3"/>
    <s v="Closeout"/>
    <s v="Closeout Task 05"/>
    <s v="Medium"/>
    <x v="0"/>
    <s v="Internal Team"/>
    <d v="2025-05-17T00:00:00"/>
    <d v="2025-06-12T00:00:00"/>
    <m/>
    <x v="2"/>
    <n v="0.5"/>
    <n v="35400"/>
    <n v="41000.21"/>
    <n v="2"/>
    <s v=""/>
    <n v="0"/>
    <n v="-5600.2099999999991"/>
  </r>
  <r>
    <s v="TSK-0131"/>
    <s v="PRJ-1011"/>
    <x v="10"/>
    <x v="3"/>
    <s v="System Implementation"/>
    <x v="4"/>
    <s v="Discovery"/>
    <s v="Discovery Task 05"/>
    <s v="Medium"/>
    <x v="0"/>
    <s v="Vertex Systems"/>
    <d v="2026-03-17T00:00:00"/>
    <d v="2026-04-12T00:00:00"/>
    <m/>
    <x v="1"/>
    <n v="0.2"/>
    <n v="11800"/>
    <n v="12557.21"/>
    <n v="2"/>
    <s v=""/>
    <n v="0"/>
    <n v="-757.20999999999913"/>
  </r>
  <r>
    <s v="TSK-0132"/>
    <s v="PRJ-1012"/>
    <x v="11"/>
    <x v="4"/>
    <s v="Cost Reduction"/>
    <x v="5"/>
    <s v="Planning"/>
    <s v="Planning Task 05"/>
    <s v="High"/>
    <x v="2"/>
    <s v="Northstar Consulting"/>
    <d v="2026-03-06T00:00:00"/>
    <d v="2026-04-02T00:00:00"/>
    <d v="2026-03-26T00:00:00"/>
    <x v="0"/>
    <n v="1"/>
    <n v="26700"/>
    <n v="28083.49"/>
    <n v="1"/>
    <n v="0"/>
    <n v="0"/>
    <n v="-1383.4900000000016"/>
  </r>
  <r>
    <s v="TSK-0133"/>
    <s v="PRJ-1013"/>
    <x v="12"/>
    <x v="5"/>
    <s v="Automation"/>
    <x v="0"/>
    <s v="Requirements"/>
    <s v="Requirements Task 05"/>
    <s v="High"/>
    <x v="1"/>
    <s v="Internal Team"/>
    <d v="2025-12-31T00:00:00"/>
    <d v="2026-01-07T00:00:00"/>
    <m/>
    <x v="2"/>
    <n v="0.6"/>
    <n v="20700"/>
    <n v="17874.98"/>
    <n v="3"/>
    <s v=""/>
    <n v="0"/>
    <n v="2825.0200000000004"/>
  </r>
  <r>
    <s v="TSK-0134"/>
    <s v="PRJ-1014"/>
    <x v="13"/>
    <x v="6"/>
    <s v="Process Improvement"/>
    <x v="1"/>
    <s v="Configuration"/>
    <s v="Configuration Task 05"/>
    <s v="Low"/>
    <x v="0"/>
    <s v="Internal Team"/>
    <d v="2025-06-14T00:00:00"/>
    <d v="2025-06-18T00:00:00"/>
    <m/>
    <x v="3"/>
    <n v="0"/>
    <n v="37700"/>
    <n v="0"/>
    <n v="4"/>
    <s v=""/>
    <n v="0"/>
    <n v="37700"/>
  </r>
  <r>
    <s v="TSK-0135"/>
    <s v="PRJ-1015"/>
    <x v="14"/>
    <x v="0"/>
    <s v="Facility Upgrade"/>
    <x v="2"/>
    <s v="Execution"/>
    <s v="Execution Task 05"/>
    <s v="High"/>
    <x v="2"/>
    <s v="Apex Solutions"/>
    <d v="2026-03-02T00:00:00"/>
    <d v="2026-03-23T00:00:00"/>
    <d v="2026-03-31T00:00:00"/>
    <x v="0"/>
    <n v="1"/>
    <n v="35900"/>
    <n v="40043.120000000003"/>
    <n v="1"/>
    <n v="8"/>
    <n v="0"/>
    <n v="-4143.1200000000026"/>
  </r>
  <r>
    <s v="TSK-0136"/>
    <s v="PRJ-1016"/>
    <x v="15"/>
    <x v="1"/>
    <s v="Compliance"/>
    <x v="3"/>
    <s v="Testing"/>
    <s v="Testing Task 05"/>
    <s v="High"/>
    <x v="2"/>
    <s v="Internal Team"/>
    <d v="2025-12-09T00:00:00"/>
    <d v="2025-12-28T00:00:00"/>
    <m/>
    <x v="3"/>
    <n v="0"/>
    <n v="4200"/>
    <n v="0"/>
    <n v="3"/>
    <s v=""/>
    <n v="0"/>
    <n v="4200"/>
  </r>
  <r>
    <s v="TSK-0137"/>
    <s v="PRJ-1017"/>
    <x v="16"/>
    <x v="2"/>
    <s v="Vendor Transition"/>
    <x v="4"/>
    <s v="Training"/>
    <s v="Training Task 05"/>
    <s v="Medium"/>
    <x v="2"/>
    <s v="Apex Solutions"/>
    <d v="2025-03-07T00:00:00"/>
    <d v="2025-03-11T00:00:00"/>
    <m/>
    <x v="2"/>
    <n v="0.6"/>
    <n v="44600"/>
    <n v="38838.080000000002"/>
    <n v="1"/>
    <s v=""/>
    <n v="0"/>
    <n v="5761.9199999999983"/>
  </r>
  <r>
    <s v="TSK-0138"/>
    <s v="PRJ-1018"/>
    <x v="17"/>
    <x v="3"/>
    <s v="System Implementation"/>
    <x v="5"/>
    <s v="Launch"/>
    <s v="Launch Task 05"/>
    <s v="Medium"/>
    <x v="1"/>
    <s v="Internal Team"/>
    <d v="2025-04-17T00:00:00"/>
    <d v="2025-05-11T00:00:00"/>
    <d v="2025-05-15T00:00:00"/>
    <x v="0"/>
    <n v="1"/>
    <n v="4400"/>
    <n v="4030.36"/>
    <n v="5"/>
    <n v="4"/>
    <n v="0"/>
    <n v="369.63999999999987"/>
  </r>
  <r>
    <s v="TSK-0139"/>
    <s v="PRJ-1019"/>
    <x v="18"/>
    <x v="4"/>
    <s v="Cost Reduction"/>
    <x v="0"/>
    <s v="Closeout"/>
    <s v="Closeout Task 05"/>
    <s v="Medium"/>
    <x v="2"/>
    <s v="Northstar Consulting"/>
    <d v="2025-04-01T00:00:00"/>
    <d v="2025-04-14T00:00:00"/>
    <m/>
    <x v="3"/>
    <n v="0"/>
    <n v="30400"/>
    <n v="0"/>
    <n v="3"/>
    <s v=""/>
    <n v="0"/>
    <n v="30400"/>
  </r>
  <r>
    <s v="TSK-0140"/>
    <s v="PRJ-1020"/>
    <x v="19"/>
    <x v="5"/>
    <s v="Automation"/>
    <x v="1"/>
    <s v="Discovery"/>
    <s v="Discovery Task 05"/>
    <s v="High"/>
    <x v="2"/>
    <s v="Internal Team"/>
    <d v="2025-05-18T00:00:00"/>
    <d v="2025-05-30T00:00:00"/>
    <d v="2025-05-29T00:00:00"/>
    <x v="0"/>
    <n v="1"/>
    <n v="29500"/>
    <n v="29286.78"/>
    <n v="2"/>
    <n v="0"/>
    <n v="0"/>
    <n v="213.22000000000116"/>
  </r>
  <r>
    <s v="TSK-0141"/>
    <s v="PRJ-1021"/>
    <x v="20"/>
    <x v="6"/>
    <s v="Process Improvement"/>
    <x v="2"/>
    <s v="Planning"/>
    <s v="Planning Task 05"/>
    <s v="High"/>
    <x v="1"/>
    <s v="BluePeak Services"/>
    <d v="2025-09-16T00:00:00"/>
    <d v="2025-09-21T00:00:00"/>
    <d v="2025-09-17T00:00:00"/>
    <x v="0"/>
    <n v="1"/>
    <n v="17300"/>
    <n v="19345.88"/>
    <n v="3"/>
    <n v="0"/>
    <n v="0"/>
    <n v="-2045.880000000001"/>
  </r>
  <r>
    <s v="TSK-0142"/>
    <s v="PRJ-1022"/>
    <x v="21"/>
    <x v="0"/>
    <s v="Facility Upgrade"/>
    <x v="3"/>
    <s v="Requirements"/>
    <s v="Requirements Task 05"/>
    <s v="Critical"/>
    <x v="0"/>
    <s v="Internal Team"/>
    <d v="2025-10-26T00:00:00"/>
    <d v="2025-11-02T00:00:00"/>
    <m/>
    <x v="3"/>
    <n v="0"/>
    <n v="38200"/>
    <n v="0"/>
    <n v="3"/>
    <s v=""/>
    <n v="0"/>
    <n v="38200"/>
  </r>
  <r>
    <s v="TSK-0143"/>
    <s v="PRJ-1023"/>
    <x v="22"/>
    <x v="1"/>
    <s v="Compliance"/>
    <x v="4"/>
    <s v="Configuration"/>
    <s v="Configuration Task 05"/>
    <s v="High"/>
    <x v="1"/>
    <s v="Internal Team"/>
    <d v="2026-02-04T00:00:00"/>
    <d v="2026-03-03T00:00:00"/>
    <d v="2026-03-12T00:00:00"/>
    <x v="0"/>
    <n v="1"/>
    <n v="27500"/>
    <n v="30506.38"/>
    <n v="4"/>
    <n v="9"/>
    <n v="0"/>
    <n v="-3006.380000000001"/>
  </r>
  <r>
    <s v="TSK-0144"/>
    <s v="PRJ-1024"/>
    <x v="23"/>
    <x v="2"/>
    <s v="Vendor Transition"/>
    <x v="5"/>
    <s v="Execution"/>
    <s v="Execution Task 05"/>
    <s v="High"/>
    <x v="2"/>
    <s v="BluePeak Services"/>
    <d v="2025-05-11T00:00:00"/>
    <d v="2025-05-15T00:00:00"/>
    <m/>
    <x v="2"/>
    <n v="0.85"/>
    <n v="32800"/>
    <n v="38321.1"/>
    <n v="1"/>
    <s v=""/>
    <n v="0"/>
    <n v="-5521.0999999999985"/>
  </r>
  <r>
    <s v="TSK-0145"/>
    <s v="PRJ-1025"/>
    <x v="24"/>
    <x v="3"/>
    <s v="System Implementation"/>
    <x v="0"/>
    <s v="Testing"/>
    <s v="Testing Task 05"/>
    <s v="High"/>
    <x v="2"/>
    <s v="Internal Team"/>
    <d v="2025-12-20T00:00:00"/>
    <d v="2026-01-01T00:00:00"/>
    <m/>
    <x v="1"/>
    <n v="0.5"/>
    <n v="40800"/>
    <n v="43944.91"/>
    <n v="4"/>
    <s v=""/>
    <n v="0"/>
    <n v="-3144.9100000000035"/>
  </r>
  <r>
    <s v="TSK-0146"/>
    <s v="PRJ-1026"/>
    <x v="25"/>
    <x v="4"/>
    <s v="Cost Reduction"/>
    <x v="1"/>
    <s v="Training"/>
    <s v="Training Task 05"/>
    <s v="High"/>
    <x v="0"/>
    <s v="Vertex Systems"/>
    <d v="2025-07-23T00:00:00"/>
    <d v="2025-08-11T00:00:00"/>
    <d v="2025-08-26T00:00:00"/>
    <x v="0"/>
    <n v="1"/>
    <n v="36400"/>
    <n v="35575.97"/>
    <n v="2"/>
    <n v="15"/>
    <n v="0"/>
    <n v="824.02999999999884"/>
  </r>
  <r>
    <s v="TSK-0147"/>
    <s v="PRJ-1027"/>
    <x v="26"/>
    <x v="5"/>
    <s v="Automation"/>
    <x v="2"/>
    <s v="Launch"/>
    <s v="Launch Task 05"/>
    <s v="High"/>
    <x v="1"/>
    <s v="Apex Solutions"/>
    <d v="2026-02-02T00:00:00"/>
    <d v="2026-02-27T00:00:00"/>
    <d v="2026-03-05T00:00:00"/>
    <x v="0"/>
    <n v="1"/>
    <n v="38500"/>
    <n v="39624.32"/>
    <n v="5"/>
    <n v="6"/>
    <n v="0"/>
    <n v="-1124.3199999999997"/>
  </r>
  <r>
    <s v="TSK-0148"/>
    <s v="PRJ-1028"/>
    <x v="27"/>
    <x v="6"/>
    <s v="Process Improvement"/>
    <x v="3"/>
    <s v="Closeout"/>
    <s v="Closeout Task 05"/>
    <s v="Medium"/>
    <x v="1"/>
    <s v="Internal Team"/>
    <d v="2026-03-25T00:00:00"/>
    <d v="2026-03-30T00:00:00"/>
    <m/>
    <x v="1"/>
    <n v="0.2"/>
    <n v="37000"/>
    <n v="46625.17"/>
    <n v="1"/>
    <s v=""/>
    <n v="0"/>
    <n v="-9625.1699999999983"/>
  </r>
  <r>
    <s v="TSK-0149"/>
    <s v="PRJ-1029"/>
    <x v="28"/>
    <x v="0"/>
    <s v="Facility Upgrade"/>
    <x v="4"/>
    <s v="Discovery"/>
    <s v="Discovery Task 05"/>
    <s v="Medium"/>
    <x v="0"/>
    <s v="Internal Team"/>
    <d v="2026-04-08T00:00:00"/>
    <d v="2026-04-13T00:00:00"/>
    <m/>
    <x v="2"/>
    <n v="0.25"/>
    <n v="15400"/>
    <n v="17887.62"/>
    <n v="2"/>
    <s v=""/>
    <n v="0"/>
    <n v="-2487.619999999999"/>
  </r>
  <r>
    <s v="TSK-0150"/>
    <s v="PRJ-1030"/>
    <x v="29"/>
    <x v="1"/>
    <s v="Compliance"/>
    <x v="5"/>
    <s v="Requirements"/>
    <s v="Requirements Task 05"/>
    <s v="Medium"/>
    <x v="0"/>
    <s v="Internal Team"/>
    <d v="2026-02-09T00:00:00"/>
    <d v="2026-03-06T00:00:00"/>
    <d v="2026-03-08T00:00:00"/>
    <x v="0"/>
    <n v="1"/>
    <n v="28300"/>
    <n v="25368.2"/>
    <n v="1"/>
    <n v="2"/>
    <n v="0"/>
    <n v="2931.7999999999993"/>
  </r>
  <r>
    <s v="TSK-0151"/>
    <s v="PRJ-1001"/>
    <x v="0"/>
    <x v="0"/>
    <s v="Facility Upgrade"/>
    <x v="0"/>
    <s v="Configuration"/>
    <s v="Configuration Task 06"/>
    <s v="Medium"/>
    <x v="0"/>
    <s v="BluePeak Services"/>
    <d v="2026-04-13T00:00:00"/>
    <d v="2026-04-29T00:00:00"/>
    <m/>
    <x v="0"/>
    <n v="0"/>
    <n v="14000"/>
    <n v="0"/>
    <n v="1"/>
    <s v=""/>
    <n v="0"/>
    <n v="14000"/>
  </r>
  <r>
    <s v="TSK-0152"/>
    <s v="PRJ-1002"/>
    <x v="1"/>
    <x v="1"/>
    <s v="Compliance"/>
    <x v="1"/>
    <s v="Execution"/>
    <s v="Execution Task 06"/>
    <s v="Medium"/>
    <x v="2"/>
    <s v="Apex Solutions"/>
    <d v="2025-04-01T00:00:00"/>
    <d v="2025-04-30T00:00:00"/>
    <d v="2025-05-04T00:00:00"/>
    <x v="0"/>
    <n v="1"/>
    <n v="27500"/>
    <n v="31671.63"/>
    <n v="2"/>
    <n v="4"/>
    <n v="0"/>
    <n v="-4171.630000000001"/>
  </r>
  <r>
    <s v="TSK-0153"/>
    <s v="PRJ-1003"/>
    <x v="2"/>
    <x v="2"/>
    <s v="Vendor Transition"/>
    <x v="2"/>
    <s v="Testing"/>
    <s v="Testing Task 06"/>
    <s v="Medium"/>
    <x v="0"/>
    <s v="Internal Team"/>
    <d v="2025-04-18T00:00:00"/>
    <d v="2025-04-28T00:00:00"/>
    <d v="2025-05-04T00:00:00"/>
    <x v="0"/>
    <n v="1"/>
    <n v="24300"/>
    <n v="28452.560000000001"/>
    <n v="0"/>
    <n v="6"/>
    <n v="0"/>
    <n v="-4152.5600000000013"/>
  </r>
  <r>
    <s v="TSK-0154"/>
    <s v="PRJ-1004"/>
    <x v="3"/>
    <x v="3"/>
    <s v="System Implementation"/>
    <x v="3"/>
    <s v="Training"/>
    <s v="Training Task 06"/>
    <s v="Medium"/>
    <x v="2"/>
    <s v="Apex Solutions"/>
    <d v="2026-01-25T00:00:00"/>
    <d v="2026-02-09T00:00:00"/>
    <d v="2026-02-24T00:00:00"/>
    <x v="0"/>
    <n v="1"/>
    <n v="3400"/>
    <n v="3193.98"/>
    <n v="3"/>
    <n v="15"/>
    <n v="0"/>
    <n v="206.01999999999998"/>
  </r>
  <r>
    <s v="TSK-0155"/>
    <s v="PRJ-1005"/>
    <x v="4"/>
    <x v="4"/>
    <s v="Cost Reduction"/>
    <x v="4"/>
    <s v="Launch"/>
    <s v="Launch Task 06"/>
    <s v="High"/>
    <x v="0"/>
    <s v="Internal Team"/>
    <d v="2025-07-26T00:00:00"/>
    <d v="2025-08-21T00:00:00"/>
    <d v="2025-08-30T00:00:00"/>
    <x v="0"/>
    <n v="1"/>
    <n v="34400"/>
    <n v="38117.620000000003"/>
    <n v="2"/>
    <n v="9"/>
    <n v="0"/>
    <n v="-3717.6200000000026"/>
  </r>
  <r>
    <s v="TSK-0156"/>
    <s v="PRJ-1006"/>
    <x v="5"/>
    <x v="5"/>
    <s v="Automation"/>
    <x v="5"/>
    <s v="Closeout"/>
    <s v="Closeout Task 06"/>
    <s v="Medium"/>
    <x v="2"/>
    <s v="Summit Partners"/>
    <d v="2025-09-06T00:00:00"/>
    <d v="2025-10-01T00:00:00"/>
    <d v="2025-10-08T00:00:00"/>
    <x v="0"/>
    <n v="1"/>
    <n v="9400"/>
    <n v="10674.18"/>
    <n v="3"/>
    <n v="7"/>
    <n v="0"/>
    <n v="-1274.1800000000003"/>
  </r>
  <r>
    <s v="TSK-0157"/>
    <s v="PRJ-1007"/>
    <x v="6"/>
    <x v="6"/>
    <s v="Process Improvement"/>
    <x v="0"/>
    <s v="Discovery"/>
    <s v="Discovery Task 06"/>
    <s v="Critical"/>
    <x v="0"/>
    <s v="Internal Team"/>
    <d v="2025-06-20T00:00:00"/>
    <d v="2025-06-24T00:00:00"/>
    <m/>
    <x v="0"/>
    <n v="0.5"/>
    <n v="23900"/>
    <n v="27660.54"/>
    <n v="1"/>
    <s v=""/>
    <n v="0"/>
    <n v="-3760.5400000000009"/>
  </r>
  <r>
    <s v="TSK-0158"/>
    <s v="PRJ-1008"/>
    <x v="7"/>
    <x v="0"/>
    <s v="Facility Upgrade"/>
    <x v="1"/>
    <s v="Planning"/>
    <s v="Planning Task 06"/>
    <s v="Medium"/>
    <x v="2"/>
    <s v="Internal Team"/>
    <d v="2025-06-17T00:00:00"/>
    <d v="2025-07-17T00:00:00"/>
    <d v="2025-07-23T00:00:00"/>
    <x v="0"/>
    <n v="1"/>
    <n v="6900"/>
    <n v="6528.91"/>
    <n v="0"/>
    <n v="6"/>
    <n v="0"/>
    <n v="371.09000000000015"/>
  </r>
  <r>
    <s v="TSK-0159"/>
    <s v="PRJ-1009"/>
    <x v="8"/>
    <x v="1"/>
    <s v="Compliance"/>
    <x v="2"/>
    <s v="Requirements"/>
    <s v="Requirements Task 06"/>
    <s v="High"/>
    <x v="1"/>
    <s v="Internal Team"/>
    <d v="2026-03-06T00:00:00"/>
    <d v="2026-03-24T00:00:00"/>
    <d v="2026-04-06T00:00:00"/>
    <x v="0"/>
    <n v="1"/>
    <n v="17500"/>
    <n v="19168.95"/>
    <n v="2"/>
    <n v="13"/>
    <n v="0"/>
    <n v="-1668.9500000000007"/>
  </r>
  <r>
    <s v="TSK-0160"/>
    <s v="PRJ-1010"/>
    <x v="9"/>
    <x v="2"/>
    <s v="Vendor Transition"/>
    <x v="3"/>
    <s v="Configuration"/>
    <s v="Configuration Task 06"/>
    <s v="Low"/>
    <x v="0"/>
    <s v="Internal Team"/>
    <d v="2025-04-14T00:00:00"/>
    <d v="2025-05-04T00:00:00"/>
    <m/>
    <x v="2"/>
    <n v="0.25"/>
    <n v="5000"/>
    <n v="4850.16"/>
    <n v="0"/>
    <s v=""/>
    <n v="0"/>
    <n v="149.84000000000015"/>
  </r>
  <r>
    <s v="TSK-0161"/>
    <s v="PRJ-1011"/>
    <x v="10"/>
    <x v="3"/>
    <s v="System Implementation"/>
    <x v="4"/>
    <s v="Execution"/>
    <s v="Execution Task 06"/>
    <s v="High"/>
    <x v="0"/>
    <s v="Vertex Systems"/>
    <d v="2026-03-17T00:00:00"/>
    <d v="2026-04-03T00:00:00"/>
    <m/>
    <x v="3"/>
    <n v="0"/>
    <n v="39300"/>
    <n v="0"/>
    <n v="5"/>
    <s v=""/>
    <n v="0"/>
    <n v="39300"/>
  </r>
  <r>
    <s v="TSK-0162"/>
    <s v="PRJ-1012"/>
    <x v="11"/>
    <x v="4"/>
    <s v="Cost Reduction"/>
    <x v="5"/>
    <s v="Testing"/>
    <s v="Testing Task 06"/>
    <s v="Medium"/>
    <x v="1"/>
    <s v="BluePeak Services"/>
    <d v="2026-02-08T00:00:00"/>
    <d v="2026-03-04T00:00:00"/>
    <d v="2026-02-26T00:00:00"/>
    <x v="0"/>
    <n v="1"/>
    <n v="31100"/>
    <n v="37931.69"/>
    <n v="4"/>
    <n v="0"/>
    <n v="0"/>
    <n v="-6831.6900000000023"/>
  </r>
  <r>
    <s v="TSK-0163"/>
    <s v="PRJ-1013"/>
    <x v="12"/>
    <x v="5"/>
    <s v="Automation"/>
    <x v="0"/>
    <s v="Training"/>
    <s v="Training Task 06"/>
    <s v="High"/>
    <x v="2"/>
    <s v="Internal Team"/>
    <d v="2025-10-29T00:00:00"/>
    <d v="2025-11-08T00:00:00"/>
    <d v="2025-11-09T00:00:00"/>
    <x v="0"/>
    <n v="1"/>
    <n v="17400"/>
    <n v="15912.04"/>
    <n v="3"/>
    <n v="1"/>
    <n v="0"/>
    <n v="1487.9599999999991"/>
  </r>
  <r>
    <s v="TSK-0164"/>
    <s v="PRJ-1014"/>
    <x v="13"/>
    <x v="6"/>
    <s v="Process Improvement"/>
    <x v="1"/>
    <s v="Launch"/>
    <s v="Launch Task 06"/>
    <s v="High"/>
    <x v="2"/>
    <s v="BluePeak Services"/>
    <d v="2025-05-25T00:00:00"/>
    <d v="2025-06-11T00:00:00"/>
    <d v="2025-06-05T00:00:00"/>
    <x v="0"/>
    <n v="1"/>
    <n v="18800"/>
    <n v="18038.53"/>
    <n v="1"/>
    <n v="0"/>
    <n v="0"/>
    <n v="761.47000000000116"/>
  </r>
  <r>
    <s v="TSK-0165"/>
    <s v="PRJ-1015"/>
    <x v="14"/>
    <x v="0"/>
    <s v="Facility Upgrade"/>
    <x v="2"/>
    <s v="Closeout"/>
    <s v="Closeout Task 06"/>
    <s v="Low"/>
    <x v="2"/>
    <s v="Apex Solutions"/>
    <d v="2026-02-11T00:00:00"/>
    <d v="2026-03-03T00:00:00"/>
    <m/>
    <x v="3"/>
    <n v="0"/>
    <n v="35200"/>
    <n v="0"/>
    <n v="1"/>
    <s v=""/>
    <n v="0"/>
    <n v="35200"/>
  </r>
  <r>
    <s v="TSK-0166"/>
    <s v="PRJ-1016"/>
    <x v="15"/>
    <x v="1"/>
    <s v="Compliance"/>
    <x v="3"/>
    <s v="Discovery"/>
    <s v="Discovery Task 06"/>
    <s v="High"/>
    <x v="2"/>
    <s v="BluePeak Services"/>
    <d v="2025-09-30T00:00:00"/>
    <d v="2025-10-06T00:00:00"/>
    <m/>
    <x v="3"/>
    <n v="0"/>
    <n v="4700"/>
    <n v="0"/>
    <n v="3"/>
    <s v=""/>
    <n v="0"/>
    <n v="4700"/>
  </r>
  <r>
    <s v="TSK-0167"/>
    <s v="PRJ-1017"/>
    <x v="16"/>
    <x v="2"/>
    <s v="Vendor Transition"/>
    <x v="4"/>
    <s v="Planning"/>
    <s v="Planning Task 06"/>
    <s v="Critical"/>
    <x v="2"/>
    <s v="BluePeak Services"/>
    <d v="2025-04-13T00:00:00"/>
    <d v="2025-05-07T00:00:00"/>
    <m/>
    <x v="2"/>
    <n v="0.25"/>
    <n v="25400"/>
    <n v="29813.56"/>
    <n v="1"/>
    <s v=""/>
    <n v="0"/>
    <n v="-4413.5600000000013"/>
  </r>
  <r>
    <s v="TSK-0168"/>
    <s v="PRJ-1018"/>
    <x v="17"/>
    <x v="3"/>
    <s v="System Implementation"/>
    <x v="5"/>
    <s v="Requirements"/>
    <s v="Requirements Task 06"/>
    <s v="Medium"/>
    <x v="2"/>
    <s v="Vertex Systems"/>
    <d v="2025-03-06T00:00:00"/>
    <d v="2025-04-03T00:00:00"/>
    <m/>
    <x v="2"/>
    <n v="0.4"/>
    <n v="6800"/>
    <n v="7547.5"/>
    <n v="2"/>
    <s v=""/>
    <n v="0"/>
    <n v="-747.5"/>
  </r>
  <r>
    <s v="TSK-0169"/>
    <s v="PRJ-1019"/>
    <x v="18"/>
    <x v="4"/>
    <s v="Cost Reduction"/>
    <x v="0"/>
    <s v="Configuration"/>
    <s v="Configuration Task 06"/>
    <s v="High"/>
    <x v="0"/>
    <s v="Apex Solutions"/>
    <d v="2025-05-27T00:00:00"/>
    <d v="2025-06-13T00:00:00"/>
    <d v="2025-06-19T00:00:00"/>
    <x v="0"/>
    <n v="1"/>
    <n v="25500"/>
    <n v="25101.59"/>
    <n v="1"/>
    <n v="6"/>
    <n v="0"/>
    <n v="398.40999999999985"/>
  </r>
  <r>
    <s v="TSK-0170"/>
    <s v="PRJ-1020"/>
    <x v="19"/>
    <x v="5"/>
    <s v="Automation"/>
    <x v="1"/>
    <s v="Execution"/>
    <s v="Execution Task 06"/>
    <s v="Medium"/>
    <x v="1"/>
    <s v="Vertex Systems"/>
    <d v="2025-09-08T00:00:00"/>
    <d v="2025-09-24T00:00:00"/>
    <d v="2025-09-27T00:00:00"/>
    <x v="0"/>
    <n v="1"/>
    <n v="43800"/>
    <n v="45176.77"/>
    <n v="2"/>
    <n v="3"/>
    <n v="0"/>
    <n v="-1376.7699999999968"/>
  </r>
  <r>
    <s v="TSK-0171"/>
    <s v="PRJ-1021"/>
    <x v="20"/>
    <x v="6"/>
    <s v="Process Improvement"/>
    <x v="2"/>
    <s v="Testing"/>
    <s v="Testing Task 06"/>
    <s v="High"/>
    <x v="0"/>
    <s v="Summit Partners"/>
    <d v="2025-09-23T00:00:00"/>
    <d v="2025-10-16T00:00:00"/>
    <d v="2025-10-12T00:00:00"/>
    <x v="0"/>
    <n v="1"/>
    <n v="34900"/>
    <n v="38725.050000000003"/>
    <n v="2"/>
    <n v="0"/>
    <n v="0"/>
    <n v="-3825.0500000000029"/>
  </r>
  <r>
    <s v="TSK-0172"/>
    <s v="PRJ-1022"/>
    <x v="21"/>
    <x v="0"/>
    <s v="Facility Upgrade"/>
    <x v="3"/>
    <s v="Training"/>
    <s v="Training Task 06"/>
    <s v="High"/>
    <x v="2"/>
    <s v="Apex Solutions"/>
    <d v="2025-12-07T00:00:00"/>
    <d v="2025-12-15T00:00:00"/>
    <m/>
    <x v="3"/>
    <n v="0"/>
    <n v="42200"/>
    <n v="0"/>
    <n v="5"/>
    <s v=""/>
    <n v="0"/>
    <n v="42200"/>
  </r>
  <r>
    <s v="TSK-0173"/>
    <s v="PRJ-1023"/>
    <x v="22"/>
    <x v="1"/>
    <s v="Compliance"/>
    <x v="4"/>
    <s v="Launch"/>
    <s v="Launch Task 06"/>
    <s v="Medium"/>
    <x v="0"/>
    <s v="Internal Team"/>
    <d v="2025-12-30T00:00:00"/>
    <d v="2026-01-22T00:00:00"/>
    <m/>
    <x v="1"/>
    <n v="0.3"/>
    <n v="6900"/>
    <n v="6732.6"/>
    <n v="3"/>
    <s v=""/>
    <n v="0"/>
    <n v="167.39999999999964"/>
  </r>
  <r>
    <s v="TSK-0174"/>
    <s v="PRJ-1024"/>
    <x v="23"/>
    <x v="2"/>
    <s v="Vendor Transition"/>
    <x v="5"/>
    <s v="Closeout"/>
    <s v="Closeout Task 06"/>
    <s v="Medium"/>
    <x v="0"/>
    <s v="BluePeak Services"/>
    <d v="2025-02-27T00:00:00"/>
    <d v="2025-03-07T00:00:00"/>
    <d v="2025-03-07T00:00:00"/>
    <x v="0"/>
    <n v="1"/>
    <n v="38200"/>
    <n v="33332.879999999997"/>
    <n v="0"/>
    <n v="0"/>
    <n v="0"/>
    <n v="4867.1200000000026"/>
  </r>
  <r>
    <s v="TSK-0175"/>
    <s v="PRJ-1025"/>
    <x v="24"/>
    <x v="3"/>
    <s v="System Implementation"/>
    <x v="0"/>
    <s v="Discovery"/>
    <s v="Discovery Task 06"/>
    <s v="Low"/>
    <x v="0"/>
    <s v="Northstar Consulting"/>
    <d v="2026-03-16T00:00:00"/>
    <d v="2026-03-27T00:00:00"/>
    <d v="2026-03-24T00:00:00"/>
    <x v="0"/>
    <n v="1"/>
    <n v="34900"/>
    <n v="30853.47"/>
    <n v="2"/>
    <n v="0"/>
    <n v="0"/>
    <n v="4046.5299999999988"/>
  </r>
  <r>
    <s v="TSK-0176"/>
    <s v="PRJ-1026"/>
    <x v="25"/>
    <x v="4"/>
    <s v="Cost Reduction"/>
    <x v="1"/>
    <s v="Planning"/>
    <s v="Planning Task 06"/>
    <s v="Medium"/>
    <x v="2"/>
    <s v="Internal Team"/>
    <d v="2025-07-03T00:00:00"/>
    <d v="2025-07-21T00:00:00"/>
    <m/>
    <x v="2"/>
    <n v="0.9"/>
    <n v="31300"/>
    <n v="31532.42"/>
    <n v="2"/>
    <s v=""/>
    <n v="0"/>
    <n v="-232.41999999999825"/>
  </r>
  <r>
    <s v="TSK-0177"/>
    <s v="PRJ-1027"/>
    <x v="26"/>
    <x v="5"/>
    <s v="Automation"/>
    <x v="2"/>
    <s v="Requirements"/>
    <s v="Requirements Task 06"/>
    <s v="Low"/>
    <x v="0"/>
    <s v="Apex Solutions"/>
    <d v="2026-02-28T00:00:00"/>
    <d v="2026-03-13T00:00:00"/>
    <d v="2026-03-11T00:00:00"/>
    <x v="0"/>
    <n v="1"/>
    <n v="33400"/>
    <n v="39470.410000000003"/>
    <n v="3"/>
    <n v="0"/>
    <n v="0"/>
    <n v="-6070.4100000000035"/>
  </r>
  <r>
    <s v="TSK-0178"/>
    <s v="PRJ-1028"/>
    <x v="27"/>
    <x v="6"/>
    <s v="Process Improvement"/>
    <x v="3"/>
    <s v="Configuration"/>
    <s v="Configuration Task 06"/>
    <s v="Medium"/>
    <x v="0"/>
    <s v="Apex Solutions"/>
    <d v="2026-02-23T00:00:00"/>
    <d v="2026-03-05T00:00:00"/>
    <d v="2026-02-20T00:00:00"/>
    <x v="0"/>
    <n v="1"/>
    <n v="13100"/>
    <n v="13370.5"/>
    <n v="2"/>
    <n v="0"/>
    <n v="0"/>
    <n v="-270.5"/>
  </r>
  <r>
    <s v="TSK-0179"/>
    <s v="PRJ-1029"/>
    <x v="28"/>
    <x v="0"/>
    <s v="Facility Upgrade"/>
    <x v="4"/>
    <s v="Execution"/>
    <s v="Execution Task 06"/>
    <s v="Medium"/>
    <x v="0"/>
    <s v="Northstar Consulting"/>
    <d v="2026-03-04T00:00:00"/>
    <d v="2026-04-03T00:00:00"/>
    <d v="2026-04-11T00:00:00"/>
    <x v="0"/>
    <n v="1"/>
    <n v="32900"/>
    <n v="25787.72"/>
    <n v="1"/>
    <n v="8"/>
    <n v="0"/>
    <n v="7112.2799999999988"/>
  </r>
  <r>
    <s v="TSK-0180"/>
    <s v="PRJ-1030"/>
    <x v="29"/>
    <x v="1"/>
    <s v="Compliance"/>
    <x v="5"/>
    <s v="Training"/>
    <s v="Training Task 06"/>
    <s v="Critical"/>
    <x v="0"/>
    <s v="Summit Partners"/>
    <d v="2026-02-16T00:00:00"/>
    <d v="2026-02-19T00:00:00"/>
    <m/>
    <x v="3"/>
    <n v="0"/>
    <n v="18600"/>
    <n v="0"/>
    <n v="0"/>
    <s v=""/>
    <n v="0"/>
    <n v="18600"/>
  </r>
  <r>
    <s v="TSK-0181"/>
    <s v="PRJ-1001"/>
    <x v="0"/>
    <x v="0"/>
    <s v="Facility Upgrade"/>
    <x v="0"/>
    <s v="Launch"/>
    <s v="Launch Task 07"/>
    <s v="High"/>
    <x v="0"/>
    <s v="Internal Team"/>
    <d v="2026-03-29T00:00:00"/>
    <d v="2026-04-10T00:00:00"/>
    <d v="2026-04-13T00:00:00"/>
    <x v="0"/>
    <n v="1"/>
    <n v="38400"/>
    <n v="31237.71"/>
    <n v="2"/>
    <n v="3"/>
    <n v="0"/>
    <n v="7162.2900000000009"/>
  </r>
  <r>
    <s v="TSK-0182"/>
    <s v="PRJ-1002"/>
    <x v="1"/>
    <x v="1"/>
    <s v="Compliance"/>
    <x v="1"/>
    <s v="Closeout"/>
    <s v="Closeout Task 07"/>
    <s v="High"/>
    <x v="2"/>
    <s v="Internal Team"/>
    <d v="2025-06-14T00:00:00"/>
    <d v="2025-06-18T00:00:00"/>
    <d v="2025-06-23T00:00:00"/>
    <x v="0"/>
    <n v="1"/>
    <n v="4700"/>
    <n v="5411"/>
    <n v="0"/>
    <n v="5"/>
    <n v="0"/>
    <n v="-711"/>
  </r>
  <r>
    <s v="TSK-0183"/>
    <s v="PRJ-1003"/>
    <x v="2"/>
    <x v="2"/>
    <s v="Vendor Transition"/>
    <x v="2"/>
    <s v="Discovery"/>
    <s v="Discovery Task 07"/>
    <s v="Medium"/>
    <x v="1"/>
    <s v="Vertex Systems"/>
    <d v="2025-02-17T00:00:00"/>
    <d v="2025-02-24T00:00:00"/>
    <m/>
    <x v="0"/>
    <n v="0.5"/>
    <n v="17700"/>
    <n v="18850.490000000002"/>
    <n v="5"/>
    <s v=""/>
    <n v="0"/>
    <n v="-1150.4900000000016"/>
  </r>
  <r>
    <s v="TSK-0184"/>
    <s v="PRJ-1004"/>
    <x v="3"/>
    <x v="3"/>
    <s v="System Implementation"/>
    <x v="3"/>
    <s v="Planning"/>
    <s v="Planning Task 07"/>
    <s v="Medium"/>
    <x v="0"/>
    <s v="Northstar Consulting"/>
    <d v="2026-05-02T00:00:00"/>
    <d v="2026-05-21T00:00:00"/>
    <m/>
    <x v="0"/>
    <n v="0"/>
    <n v="3200"/>
    <n v="0"/>
    <n v="1"/>
    <s v=""/>
    <n v="0"/>
    <n v="3200"/>
  </r>
  <r>
    <s v="TSK-0185"/>
    <s v="PRJ-1005"/>
    <x v="4"/>
    <x v="4"/>
    <s v="Cost Reduction"/>
    <x v="4"/>
    <s v="Requirements"/>
    <s v="Requirements Task 07"/>
    <s v="Medium"/>
    <x v="0"/>
    <s v="BluePeak Services"/>
    <d v="2025-06-30T00:00:00"/>
    <d v="2025-07-13T00:00:00"/>
    <d v="2025-07-03T00:00:00"/>
    <x v="0"/>
    <n v="1"/>
    <n v="15400"/>
    <n v="13873.45"/>
    <n v="2"/>
    <n v="0"/>
    <n v="0"/>
    <n v="1526.5499999999993"/>
  </r>
  <r>
    <s v="TSK-0186"/>
    <s v="PRJ-1006"/>
    <x v="5"/>
    <x v="5"/>
    <s v="Automation"/>
    <x v="5"/>
    <s v="Configuration"/>
    <s v="Configuration Task 07"/>
    <s v="High"/>
    <x v="2"/>
    <s v="Apex Solutions"/>
    <d v="2025-09-18T00:00:00"/>
    <d v="2025-10-08T00:00:00"/>
    <d v="2025-10-03T00:00:00"/>
    <x v="0"/>
    <n v="1"/>
    <n v="2200"/>
    <n v="2138.21"/>
    <n v="1"/>
    <n v="0"/>
    <n v="0"/>
    <n v="61.789999999999964"/>
  </r>
  <r>
    <s v="TSK-0187"/>
    <s v="PRJ-1007"/>
    <x v="6"/>
    <x v="6"/>
    <s v="Process Improvement"/>
    <x v="0"/>
    <s v="Execution"/>
    <s v="Execution Task 07"/>
    <s v="Medium"/>
    <x v="0"/>
    <s v="BluePeak Services"/>
    <d v="2025-05-06T00:00:00"/>
    <d v="2025-05-28T00:00:00"/>
    <d v="2025-06-02T00:00:00"/>
    <x v="0"/>
    <n v="1"/>
    <n v="43600"/>
    <n v="46175.38"/>
    <n v="0"/>
    <n v="5"/>
    <n v="0"/>
    <n v="-2575.3799999999974"/>
  </r>
  <r>
    <s v="TSK-0188"/>
    <s v="PRJ-1008"/>
    <x v="7"/>
    <x v="0"/>
    <s v="Facility Upgrade"/>
    <x v="1"/>
    <s v="Testing"/>
    <s v="Testing Task 07"/>
    <s v="High"/>
    <x v="2"/>
    <s v="Northstar Consulting"/>
    <d v="2025-04-30T00:00:00"/>
    <d v="2025-05-19T00:00:00"/>
    <d v="2025-05-11T00:00:00"/>
    <x v="0"/>
    <n v="1"/>
    <n v="7900"/>
    <n v="6918.89"/>
    <n v="2"/>
    <n v="0"/>
    <n v="0"/>
    <n v="981.10999999999967"/>
  </r>
  <r>
    <s v="TSK-0189"/>
    <s v="PRJ-1009"/>
    <x v="8"/>
    <x v="1"/>
    <s v="Compliance"/>
    <x v="2"/>
    <s v="Training"/>
    <s v="Training Task 07"/>
    <s v="Critical"/>
    <x v="0"/>
    <s v="Internal Team"/>
    <d v="2026-04-08T00:00:00"/>
    <d v="2026-04-24T00:00:00"/>
    <m/>
    <x v="3"/>
    <n v="0"/>
    <n v="31500"/>
    <n v="0"/>
    <n v="0"/>
    <s v=""/>
    <n v="0"/>
    <n v="31500"/>
  </r>
  <r>
    <s v="TSK-0190"/>
    <s v="PRJ-1010"/>
    <x v="9"/>
    <x v="2"/>
    <s v="Vendor Transition"/>
    <x v="3"/>
    <s v="Launch"/>
    <s v="Launch Task 07"/>
    <s v="Critical"/>
    <x v="1"/>
    <s v="Vertex Systems"/>
    <d v="2025-03-14T00:00:00"/>
    <d v="2025-04-08T00:00:00"/>
    <m/>
    <x v="3"/>
    <n v="0"/>
    <n v="10500"/>
    <n v="0"/>
    <n v="2"/>
    <s v=""/>
    <n v="0"/>
    <n v="10500"/>
  </r>
  <r>
    <s v="TSK-0191"/>
    <s v="PRJ-1011"/>
    <x v="10"/>
    <x v="3"/>
    <s v="System Implementation"/>
    <x v="4"/>
    <s v="Closeout"/>
    <s v="Closeout Task 07"/>
    <s v="Medium"/>
    <x v="0"/>
    <s v="Internal Team"/>
    <d v="2026-05-03T00:00:00"/>
    <d v="2026-05-16T00:00:00"/>
    <d v="2026-05-27T00:00:00"/>
    <x v="0"/>
    <n v="1"/>
    <n v="30900"/>
    <n v="34978.519999999997"/>
    <n v="0"/>
    <n v="11"/>
    <n v="0"/>
    <n v="-4078.5199999999968"/>
  </r>
  <r>
    <s v="TSK-0192"/>
    <s v="PRJ-1012"/>
    <x v="11"/>
    <x v="4"/>
    <s v="Cost Reduction"/>
    <x v="5"/>
    <s v="Discovery"/>
    <s v="Discovery Task 07"/>
    <s v="High"/>
    <x v="0"/>
    <s v="Apex Solutions"/>
    <d v="2026-03-24T00:00:00"/>
    <d v="2026-04-04T00:00:00"/>
    <d v="2026-04-09T00:00:00"/>
    <x v="0"/>
    <n v="1"/>
    <n v="14400"/>
    <n v="18890.45"/>
    <n v="1"/>
    <n v="5"/>
    <n v="0"/>
    <n v="-4490.4500000000007"/>
  </r>
  <r>
    <s v="TSK-0193"/>
    <s v="PRJ-1013"/>
    <x v="12"/>
    <x v="5"/>
    <s v="Automation"/>
    <x v="0"/>
    <s v="Planning"/>
    <s v="Planning Task 07"/>
    <s v="High"/>
    <x v="0"/>
    <s v="Internal Team"/>
    <d v="2025-12-21T00:00:00"/>
    <d v="2026-01-02T00:00:00"/>
    <m/>
    <x v="3"/>
    <n v="0"/>
    <n v="30900"/>
    <n v="0"/>
    <n v="0"/>
    <s v=""/>
    <n v="0"/>
    <n v="30900"/>
  </r>
  <r>
    <s v="TSK-0194"/>
    <s v="PRJ-1014"/>
    <x v="13"/>
    <x v="6"/>
    <s v="Process Improvement"/>
    <x v="1"/>
    <s v="Requirements"/>
    <s v="Requirements Task 07"/>
    <s v="High"/>
    <x v="1"/>
    <s v="Summit Partners"/>
    <d v="2025-05-04T00:00:00"/>
    <d v="2025-05-08T00:00:00"/>
    <m/>
    <x v="2"/>
    <n v="0.85"/>
    <n v="4900"/>
    <n v="6278.24"/>
    <n v="5"/>
    <s v=""/>
    <n v="0"/>
    <n v="-1378.2399999999998"/>
  </r>
  <r>
    <s v="TSK-0195"/>
    <s v="PRJ-1015"/>
    <x v="14"/>
    <x v="0"/>
    <s v="Facility Upgrade"/>
    <x v="2"/>
    <s v="Configuration"/>
    <s v="Configuration Task 07"/>
    <s v="High"/>
    <x v="0"/>
    <s v="Summit Partners"/>
    <d v="2026-01-12T00:00:00"/>
    <d v="2026-02-01T00:00:00"/>
    <d v="2026-01-29T00:00:00"/>
    <x v="0"/>
    <n v="1"/>
    <n v="7500"/>
    <n v="6830.29"/>
    <n v="0"/>
    <n v="0"/>
    <n v="0"/>
    <n v="669.71"/>
  </r>
  <r>
    <s v="TSK-0196"/>
    <s v="PRJ-1016"/>
    <x v="15"/>
    <x v="1"/>
    <s v="Compliance"/>
    <x v="3"/>
    <s v="Execution"/>
    <s v="Execution Task 07"/>
    <s v="Medium"/>
    <x v="2"/>
    <s v="Apex Solutions"/>
    <d v="2025-10-08T00:00:00"/>
    <d v="2025-10-12T00:00:00"/>
    <m/>
    <x v="3"/>
    <n v="0"/>
    <n v="15900"/>
    <n v="0"/>
    <n v="2"/>
    <s v=""/>
    <n v="0"/>
    <n v="15900"/>
  </r>
  <r>
    <s v="TSK-0197"/>
    <s v="PRJ-1017"/>
    <x v="16"/>
    <x v="2"/>
    <s v="Vendor Transition"/>
    <x v="4"/>
    <s v="Testing"/>
    <s v="Testing Task 07"/>
    <s v="Medium"/>
    <x v="1"/>
    <s v="BluePeak Services"/>
    <d v="2025-03-03T00:00:00"/>
    <d v="2025-03-19T00:00:00"/>
    <d v="2025-03-27T00:00:00"/>
    <x v="0"/>
    <n v="1"/>
    <n v="29800"/>
    <n v="29347.07"/>
    <n v="3"/>
    <n v="8"/>
    <n v="0"/>
    <n v="452.93000000000029"/>
  </r>
  <r>
    <s v="TSK-0198"/>
    <s v="PRJ-1018"/>
    <x v="17"/>
    <x v="3"/>
    <s v="System Implementation"/>
    <x v="5"/>
    <s v="Training"/>
    <s v="Training Task 07"/>
    <s v="Medium"/>
    <x v="0"/>
    <s v="Vertex Systems"/>
    <d v="2025-06-16T00:00:00"/>
    <d v="2025-06-26T00:00:00"/>
    <d v="2025-06-22T00:00:00"/>
    <x v="0"/>
    <n v="1"/>
    <n v="33000"/>
    <n v="41059.21"/>
    <n v="0"/>
    <n v="0"/>
    <n v="0"/>
    <n v="-8059.2099999999991"/>
  </r>
  <r>
    <s v="TSK-0199"/>
    <s v="PRJ-1019"/>
    <x v="18"/>
    <x v="4"/>
    <s v="Cost Reduction"/>
    <x v="0"/>
    <s v="Launch"/>
    <s v="Launch Task 07"/>
    <s v="Medium"/>
    <x v="1"/>
    <s v="Internal Team"/>
    <d v="2025-03-03T00:00:00"/>
    <d v="2025-04-01T00:00:00"/>
    <m/>
    <x v="2"/>
    <n v="0.6"/>
    <n v="9600"/>
    <n v="10258.58"/>
    <n v="0"/>
    <s v=""/>
    <n v="0"/>
    <n v="-658.57999999999993"/>
  </r>
  <r>
    <s v="TSK-0200"/>
    <s v="PRJ-1020"/>
    <x v="19"/>
    <x v="5"/>
    <s v="Automation"/>
    <x v="1"/>
    <s v="Closeout"/>
    <s v="Closeout Task 07"/>
    <s v="Medium"/>
    <x v="0"/>
    <s v="Internal Team"/>
    <d v="2025-05-24T00:00:00"/>
    <d v="2025-06-06T00:00:00"/>
    <m/>
    <x v="2"/>
    <n v="0.85"/>
    <n v="25100"/>
    <n v="19085.080000000002"/>
    <n v="1"/>
    <s v=""/>
    <n v="0"/>
    <n v="6014.9199999999983"/>
  </r>
  <r>
    <s v="TSK-0201"/>
    <s v="PRJ-1021"/>
    <x v="20"/>
    <x v="6"/>
    <s v="Process Improvement"/>
    <x v="2"/>
    <s v="Discovery"/>
    <s v="Discovery Task 07"/>
    <s v="High"/>
    <x v="0"/>
    <s v="Internal Team"/>
    <d v="2025-06-02T00:00:00"/>
    <d v="2025-06-15T00:00:00"/>
    <m/>
    <x v="3"/>
    <n v="0"/>
    <n v="21500"/>
    <n v="0"/>
    <n v="2"/>
    <s v=""/>
    <n v="0"/>
    <n v="21500"/>
  </r>
  <r>
    <s v="TSK-0202"/>
    <s v="PRJ-1022"/>
    <x v="21"/>
    <x v="0"/>
    <s v="Facility Upgrade"/>
    <x v="3"/>
    <s v="Planning"/>
    <s v="Planning Task 07"/>
    <s v="High"/>
    <x v="2"/>
    <s v="Apex Solutions"/>
    <d v="2025-11-09T00:00:00"/>
    <d v="2025-11-17T00:00:00"/>
    <d v="2025-11-14T00:00:00"/>
    <x v="0"/>
    <n v="1"/>
    <n v="20100"/>
    <n v="18776.189999999999"/>
    <n v="1"/>
    <n v="0"/>
    <n v="0"/>
    <n v="1323.8100000000013"/>
  </r>
  <r>
    <s v="TSK-0203"/>
    <s v="PRJ-1023"/>
    <x v="22"/>
    <x v="1"/>
    <s v="Compliance"/>
    <x v="4"/>
    <s v="Requirements"/>
    <s v="Requirements Task 07"/>
    <s v="Low"/>
    <x v="1"/>
    <s v="Apex Solutions"/>
    <d v="2026-01-12T00:00:00"/>
    <d v="2026-01-15T00:00:00"/>
    <m/>
    <x v="2"/>
    <n v="0.4"/>
    <n v="20900"/>
    <n v="24416.52"/>
    <n v="3"/>
    <s v=""/>
    <n v="0"/>
    <n v="-3516.5200000000004"/>
  </r>
  <r>
    <s v="TSK-0204"/>
    <s v="PRJ-1024"/>
    <x v="23"/>
    <x v="2"/>
    <s v="Vendor Transition"/>
    <x v="5"/>
    <s v="Configuration"/>
    <s v="Configuration Task 07"/>
    <s v="High"/>
    <x v="2"/>
    <s v="Internal Team"/>
    <d v="2025-04-21T00:00:00"/>
    <d v="2025-05-16T00:00:00"/>
    <m/>
    <x v="2"/>
    <n v="0.85"/>
    <n v="6600"/>
    <n v="7377.59"/>
    <n v="1"/>
    <s v=""/>
    <n v="0"/>
    <n v="-777.59000000000015"/>
  </r>
  <r>
    <s v="TSK-0205"/>
    <s v="PRJ-1025"/>
    <x v="24"/>
    <x v="3"/>
    <s v="System Implementation"/>
    <x v="0"/>
    <s v="Execution"/>
    <s v="Execution Task 07"/>
    <s v="Medium"/>
    <x v="1"/>
    <s v="Vertex Systems"/>
    <d v="2026-01-07T00:00:00"/>
    <d v="2026-02-01T00:00:00"/>
    <m/>
    <x v="3"/>
    <n v="0"/>
    <n v="41400"/>
    <n v="0"/>
    <n v="2"/>
    <s v=""/>
    <n v="0"/>
    <n v="41400"/>
  </r>
  <r>
    <s v="TSK-0206"/>
    <s v="PRJ-1026"/>
    <x v="25"/>
    <x v="4"/>
    <s v="Cost Reduction"/>
    <x v="1"/>
    <s v="Testing"/>
    <s v="Testing Task 07"/>
    <s v="Medium"/>
    <x v="0"/>
    <s v="Internal Team"/>
    <d v="2025-07-21T00:00:00"/>
    <d v="2025-08-06T00:00:00"/>
    <d v="2025-08-17T00:00:00"/>
    <x v="0"/>
    <n v="1"/>
    <n v="41200"/>
    <n v="42400.56"/>
    <n v="0"/>
    <n v="11"/>
    <n v="0"/>
    <n v="-1200.5599999999977"/>
  </r>
  <r>
    <s v="TSK-0207"/>
    <s v="PRJ-1027"/>
    <x v="26"/>
    <x v="5"/>
    <s v="Automation"/>
    <x v="2"/>
    <s v="Training"/>
    <s v="Training Task 07"/>
    <s v="High"/>
    <x v="2"/>
    <s v="Vertex Systems"/>
    <d v="2026-01-27T00:00:00"/>
    <d v="2026-02-15T00:00:00"/>
    <m/>
    <x v="2"/>
    <n v="0.85"/>
    <n v="17200"/>
    <n v="18345.09"/>
    <n v="1"/>
    <s v=""/>
    <n v="0"/>
    <n v="-1145.0900000000001"/>
  </r>
  <r>
    <s v="TSK-0208"/>
    <s v="PRJ-1028"/>
    <x v="27"/>
    <x v="6"/>
    <s v="Process Improvement"/>
    <x v="3"/>
    <s v="Launch"/>
    <s v="Launch Task 07"/>
    <s v="High"/>
    <x v="1"/>
    <s v="Internal Team"/>
    <d v="2026-04-20T00:00:00"/>
    <d v="2026-04-27T00:00:00"/>
    <m/>
    <x v="3"/>
    <n v="0"/>
    <n v="38700"/>
    <n v="0"/>
    <n v="4"/>
    <s v=""/>
    <n v="0"/>
    <n v="38700"/>
  </r>
  <r>
    <s v="TSK-0209"/>
    <s v="PRJ-1029"/>
    <x v="28"/>
    <x v="0"/>
    <s v="Facility Upgrade"/>
    <x v="4"/>
    <s v="Closeout"/>
    <s v="Closeout Task 07"/>
    <s v="High"/>
    <x v="0"/>
    <s v="BluePeak Services"/>
    <d v="2026-04-24T00:00:00"/>
    <d v="2026-05-22T00:00:00"/>
    <m/>
    <x v="3"/>
    <n v="0"/>
    <n v="7200"/>
    <n v="0"/>
    <n v="2"/>
    <s v=""/>
    <n v="0"/>
    <n v="7200"/>
  </r>
  <r>
    <s v="TSK-0210"/>
    <s v="PRJ-1030"/>
    <x v="29"/>
    <x v="1"/>
    <s v="Compliance"/>
    <x v="5"/>
    <s v="Planning"/>
    <s v="Planning Task 07"/>
    <s v="Medium"/>
    <x v="2"/>
    <s v="Internal Team"/>
    <d v="2025-10-17T00:00:00"/>
    <d v="2025-11-01T00:00:00"/>
    <m/>
    <x v="2"/>
    <n v="0.25"/>
    <n v="33900"/>
    <n v="33577.360000000001"/>
    <n v="2"/>
    <s v=""/>
    <n v="0"/>
    <n v="322.63999999999942"/>
  </r>
  <r>
    <s v="TSK-0211"/>
    <s v="PRJ-1001"/>
    <x v="0"/>
    <x v="0"/>
    <s v="Facility Upgrade"/>
    <x v="0"/>
    <s v="Requirements"/>
    <s v="Requirements Task 08"/>
    <s v="Medium"/>
    <x v="0"/>
    <s v="BluePeak Services"/>
    <d v="2025-12-16T00:00:00"/>
    <d v="2026-01-03T00:00:00"/>
    <m/>
    <x v="0"/>
    <n v="0"/>
    <n v="19300"/>
    <n v="0"/>
    <n v="0"/>
    <s v=""/>
    <n v="0"/>
    <n v="19300"/>
  </r>
  <r>
    <s v="TSK-0212"/>
    <s v="PRJ-1002"/>
    <x v="1"/>
    <x v="1"/>
    <s v="Compliance"/>
    <x v="1"/>
    <s v="Configuration"/>
    <s v="Configuration Task 08"/>
    <s v="Critical"/>
    <x v="2"/>
    <s v="Internal Team"/>
    <d v="2025-06-09T00:00:00"/>
    <d v="2025-06-26T00:00:00"/>
    <d v="2025-07-04T00:00:00"/>
    <x v="0"/>
    <n v="1"/>
    <n v="31200"/>
    <n v="29982.34"/>
    <n v="1"/>
    <n v="8"/>
    <n v="0"/>
    <n v="1217.6599999999999"/>
  </r>
  <r>
    <s v="TSK-0213"/>
    <s v="PRJ-1003"/>
    <x v="2"/>
    <x v="2"/>
    <s v="Vendor Transition"/>
    <x v="2"/>
    <s v="Execution"/>
    <s v="Execution Task 08"/>
    <s v="High"/>
    <x v="0"/>
    <s v="Internal Team"/>
    <d v="2025-06-04T00:00:00"/>
    <d v="2025-06-19T00:00:00"/>
    <d v="2025-06-14T00:00:00"/>
    <x v="0"/>
    <n v="1"/>
    <n v="33200"/>
    <n v="33916.019999999997"/>
    <n v="1"/>
    <n v="0"/>
    <n v="0"/>
    <n v="-716.0199999999968"/>
  </r>
  <r>
    <s v="TSK-0214"/>
    <s v="PRJ-1004"/>
    <x v="3"/>
    <x v="3"/>
    <s v="System Implementation"/>
    <x v="3"/>
    <s v="Testing"/>
    <s v="Testing Task 08"/>
    <s v="Low"/>
    <x v="0"/>
    <s v="Vertex Systems"/>
    <d v="2026-06-08T00:00:00"/>
    <d v="2026-06-24T00:00:00"/>
    <d v="2026-06-28T00:00:00"/>
    <x v="0"/>
    <n v="1"/>
    <n v="16600"/>
    <n v="15698.64"/>
    <n v="1"/>
    <n v="4"/>
    <n v="0"/>
    <n v="901.36000000000058"/>
  </r>
  <r>
    <s v="TSK-0215"/>
    <s v="PRJ-1005"/>
    <x v="4"/>
    <x v="4"/>
    <s v="Cost Reduction"/>
    <x v="4"/>
    <s v="Training"/>
    <s v="Training Task 08"/>
    <s v="High"/>
    <x v="0"/>
    <s v="Summit Partners"/>
    <d v="2025-09-10T00:00:00"/>
    <d v="2025-10-02T00:00:00"/>
    <d v="2025-10-20T00:00:00"/>
    <x v="0"/>
    <n v="1"/>
    <n v="39900"/>
    <n v="43665.38"/>
    <n v="1"/>
    <n v="18"/>
    <n v="0"/>
    <n v="-3765.3799999999974"/>
  </r>
  <r>
    <s v="TSK-0216"/>
    <s v="PRJ-1006"/>
    <x v="5"/>
    <x v="5"/>
    <s v="Automation"/>
    <x v="5"/>
    <s v="Launch"/>
    <s v="Launch Task 08"/>
    <s v="Low"/>
    <x v="0"/>
    <s v="Northstar Consulting"/>
    <d v="2025-05-23T00:00:00"/>
    <d v="2025-06-02T00:00:00"/>
    <d v="2025-05-31T00:00:00"/>
    <x v="0"/>
    <n v="1"/>
    <n v="11000"/>
    <n v="11729.51"/>
    <n v="1"/>
    <n v="0"/>
    <n v="0"/>
    <n v="-729.51000000000022"/>
  </r>
  <r>
    <s v="TSK-0217"/>
    <s v="PRJ-1007"/>
    <x v="6"/>
    <x v="6"/>
    <s v="Process Improvement"/>
    <x v="0"/>
    <s v="Closeout"/>
    <s v="Closeout Task 08"/>
    <s v="Medium"/>
    <x v="0"/>
    <s v="Summit Partners"/>
    <d v="2025-09-24T00:00:00"/>
    <d v="2025-10-07T00:00:00"/>
    <d v="2025-10-07T00:00:00"/>
    <x v="0"/>
    <n v="1"/>
    <n v="35100"/>
    <n v="36984.699999999997"/>
    <n v="0"/>
    <n v="0"/>
    <n v="0"/>
    <n v="-1884.6999999999971"/>
  </r>
  <r>
    <s v="TSK-0218"/>
    <s v="PRJ-1008"/>
    <x v="7"/>
    <x v="0"/>
    <s v="Facility Upgrade"/>
    <x v="1"/>
    <s v="Discovery"/>
    <s v="Discovery Task 08"/>
    <s v="High"/>
    <x v="1"/>
    <s v="Apex Solutions"/>
    <d v="2025-07-01T00:00:00"/>
    <d v="2025-07-13T00:00:00"/>
    <m/>
    <x v="0"/>
    <n v="0.75"/>
    <n v="42800"/>
    <n v="53342.37"/>
    <n v="1"/>
    <s v=""/>
    <n v="0"/>
    <n v="-10542.370000000003"/>
  </r>
  <r>
    <s v="TSK-0219"/>
    <s v="PRJ-1009"/>
    <x v="8"/>
    <x v="1"/>
    <s v="Compliance"/>
    <x v="2"/>
    <s v="Planning"/>
    <s v="Planning Task 08"/>
    <s v="High"/>
    <x v="0"/>
    <s v="Apex Solutions"/>
    <d v="2026-04-16T00:00:00"/>
    <d v="2026-05-09T00:00:00"/>
    <d v="2026-05-12T00:00:00"/>
    <x v="0"/>
    <n v="1"/>
    <n v="19600"/>
    <n v="18150.66"/>
    <n v="2"/>
    <n v="3"/>
    <n v="0"/>
    <n v="1449.3400000000001"/>
  </r>
  <r>
    <s v="TSK-0220"/>
    <s v="PRJ-1010"/>
    <x v="9"/>
    <x v="2"/>
    <s v="Vendor Transition"/>
    <x v="3"/>
    <s v="Requirements"/>
    <s v="Requirements Task 08"/>
    <s v="High"/>
    <x v="0"/>
    <s v="Summit Partners"/>
    <d v="2025-05-14T00:00:00"/>
    <d v="2025-06-13T00:00:00"/>
    <d v="2025-06-20T00:00:00"/>
    <x v="0"/>
    <n v="1"/>
    <n v="36600"/>
    <n v="41782.85"/>
    <n v="0"/>
    <n v="7"/>
    <n v="0"/>
    <n v="-5182.8499999999985"/>
  </r>
  <r>
    <s v="TSK-0221"/>
    <s v="PRJ-1011"/>
    <x v="10"/>
    <x v="3"/>
    <s v="System Implementation"/>
    <x v="4"/>
    <s v="Configuration"/>
    <s v="Configuration Task 08"/>
    <s v="Critical"/>
    <x v="2"/>
    <s v="Internal Team"/>
    <d v="2026-02-18T00:00:00"/>
    <d v="2026-03-01T00:00:00"/>
    <m/>
    <x v="2"/>
    <n v="0.85"/>
    <n v="4900"/>
    <n v="4504.53"/>
    <n v="2"/>
    <s v=""/>
    <n v="0"/>
    <n v="395.47000000000025"/>
  </r>
  <r>
    <s v="TSK-0222"/>
    <s v="PRJ-1012"/>
    <x v="11"/>
    <x v="4"/>
    <s v="Cost Reduction"/>
    <x v="5"/>
    <s v="Execution"/>
    <s v="Execution Task 08"/>
    <s v="Medium"/>
    <x v="2"/>
    <s v="Internal Team"/>
    <d v="2026-04-26T00:00:00"/>
    <d v="2026-05-20T00:00:00"/>
    <d v="2026-05-25T00:00:00"/>
    <x v="0"/>
    <n v="1"/>
    <n v="36500"/>
    <n v="37613.879999999997"/>
    <n v="0"/>
    <n v="5"/>
    <n v="0"/>
    <n v="-1113.8799999999974"/>
  </r>
  <r>
    <s v="TSK-0223"/>
    <s v="PRJ-1013"/>
    <x v="12"/>
    <x v="5"/>
    <s v="Automation"/>
    <x v="0"/>
    <s v="Testing"/>
    <s v="Testing Task 08"/>
    <s v="Medium"/>
    <x v="0"/>
    <s v="BluePeak Services"/>
    <d v="2025-12-28T00:00:00"/>
    <d v="2025-12-31T00:00:00"/>
    <m/>
    <x v="2"/>
    <n v="0.4"/>
    <n v="43400"/>
    <n v="40543.089999999997"/>
    <n v="5"/>
    <s v=""/>
    <n v="0"/>
    <n v="2856.9100000000035"/>
  </r>
  <r>
    <s v="TSK-0224"/>
    <s v="PRJ-1014"/>
    <x v="13"/>
    <x v="6"/>
    <s v="Process Improvement"/>
    <x v="1"/>
    <s v="Training"/>
    <s v="Training Task 08"/>
    <s v="Medium"/>
    <x v="0"/>
    <s v="Northstar Consulting"/>
    <d v="2025-04-12T00:00:00"/>
    <d v="2025-04-27T00:00:00"/>
    <d v="2025-05-18T00:00:00"/>
    <x v="0"/>
    <n v="1"/>
    <n v="25500"/>
    <n v="26448.29"/>
    <n v="0"/>
    <n v="21"/>
    <n v="0"/>
    <n v="-948.29000000000087"/>
  </r>
  <r>
    <s v="TSK-0225"/>
    <s v="PRJ-1015"/>
    <x v="14"/>
    <x v="0"/>
    <s v="Facility Upgrade"/>
    <x v="2"/>
    <s v="Launch"/>
    <s v="Launch Task 08"/>
    <s v="Medium"/>
    <x v="0"/>
    <s v="Internal Team"/>
    <d v="2026-03-15T00:00:00"/>
    <d v="2026-04-02T00:00:00"/>
    <d v="2026-04-08T00:00:00"/>
    <x v="0"/>
    <n v="1"/>
    <n v="34600"/>
    <n v="29531.01"/>
    <n v="1"/>
    <n v="6"/>
    <n v="0"/>
    <n v="5068.9900000000016"/>
  </r>
  <r>
    <s v="TSK-0226"/>
    <s v="PRJ-1016"/>
    <x v="15"/>
    <x v="1"/>
    <s v="Compliance"/>
    <x v="3"/>
    <s v="Closeout"/>
    <s v="Closeout Task 08"/>
    <s v="Medium"/>
    <x v="0"/>
    <s v="Summit Partners"/>
    <d v="2025-09-16T00:00:00"/>
    <d v="2025-09-19T00:00:00"/>
    <m/>
    <x v="2"/>
    <n v="0.75"/>
    <n v="26700"/>
    <n v="29023.599999999999"/>
    <n v="1"/>
    <s v=""/>
    <n v="0"/>
    <n v="-2323.5999999999985"/>
  </r>
  <r>
    <s v="TSK-0227"/>
    <s v="PRJ-1017"/>
    <x v="16"/>
    <x v="2"/>
    <s v="Vendor Transition"/>
    <x v="4"/>
    <s v="Discovery"/>
    <s v="Discovery Task 08"/>
    <s v="Medium"/>
    <x v="0"/>
    <s v="Summit Partners"/>
    <d v="2025-05-29T00:00:00"/>
    <d v="2025-06-18T00:00:00"/>
    <d v="2025-06-22T00:00:00"/>
    <x v="0"/>
    <n v="1"/>
    <n v="31300"/>
    <n v="31631.82"/>
    <n v="4"/>
    <n v="4"/>
    <n v="0"/>
    <n v="-331.81999999999971"/>
  </r>
  <r>
    <s v="TSK-0228"/>
    <s v="PRJ-1018"/>
    <x v="17"/>
    <x v="3"/>
    <s v="System Implementation"/>
    <x v="5"/>
    <s v="Planning"/>
    <s v="Planning Task 08"/>
    <s v="Critical"/>
    <x v="2"/>
    <s v="Apex Solutions"/>
    <d v="2025-03-05T00:00:00"/>
    <d v="2025-03-31T00:00:00"/>
    <d v="2025-04-07T00:00:00"/>
    <x v="0"/>
    <n v="1"/>
    <n v="22700"/>
    <n v="26638.03"/>
    <n v="3"/>
    <n v="7"/>
    <n v="0"/>
    <n v="-3938.0299999999988"/>
  </r>
  <r>
    <s v="TSK-0229"/>
    <s v="PRJ-1019"/>
    <x v="18"/>
    <x v="4"/>
    <s v="Cost Reduction"/>
    <x v="0"/>
    <s v="Requirements"/>
    <s v="Requirements Task 08"/>
    <s v="High"/>
    <x v="0"/>
    <s v="Internal Team"/>
    <d v="2025-03-13T00:00:00"/>
    <d v="2025-04-11T00:00:00"/>
    <d v="2025-04-09T00:00:00"/>
    <x v="0"/>
    <n v="1"/>
    <n v="34700"/>
    <n v="29138.74"/>
    <n v="3"/>
    <n v="0"/>
    <n v="0"/>
    <n v="5561.2599999999984"/>
  </r>
  <r>
    <s v="TSK-0230"/>
    <s v="PRJ-1020"/>
    <x v="19"/>
    <x v="5"/>
    <s v="Automation"/>
    <x v="1"/>
    <s v="Configuration"/>
    <s v="Configuration Task 08"/>
    <s v="Medium"/>
    <x v="2"/>
    <s v="Internal Team"/>
    <d v="2025-09-03T00:00:00"/>
    <d v="2025-09-20T00:00:00"/>
    <m/>
    <x v="2"/>
    <n v="0.75"/>
    <n v="29200"/>
    <n v="36275.06"/>
    <n v="1"/>
    <s v=""/>
    <n v="0"/>
    <n v="-7075.0599999999977"/>
  </r>
  <r>
    <s v="TSK-0231"/>
    <s v="PRJ-1021"/>
    <x v="20"/>
    <x v="6"/>
    <s v="Process Improvement"/>
    <x v="2"/>
    <s v="Execution"/>
    <s v="Execution Task 08"/>
    <s v="High"/>
    <x v="0"/>
    <s v="Apex Solutions"/>
    <d v="2025-08-18T00:00:00"/>
    <d v="2025-08-21T00:00:00"/>
    <m/>
    <x v="3"/>
    <n v="0"/>
    <n v="32900"/>
    <n v="0"/>
    <n v="1"/>
    <s v=""/>
    <n v="0"/>
    <n v="32900"/>
  </r>
  <r>
    <s v="TSK-0232"/>
    <s v="PRJ-1022"/>
    <x v="21"/>
    <x v="0"/>
    <s v="Facility Upgrade"/>
    <x v="3"/>
    <s v="Testing"/>
    <s v="Testing Task 08"/>
    <s v="Medium"/>
    <x v="2"/>
    <s v="Internal Team"/>
    <d v="2025-11-05T00:00:00"/>
    <d v="2025-11-11T00:00:00"/>
    <d v="2025-11-08T00:00:00"/>
    <x v="0"/>
    <n v="1"/>
    <n v="28500"/>
    <n v="28714.7"/>
    <n v="2"/>
    <n v="0"/>
    <n v="0"/>
    <n v="-214.70000000000073"/>
  </r>
  <r>
    <s v="TSK-0233"/>
    <s v="PRJ-1023"/>
    <x v="22"/>
    <x v="1"/>
    <s v="Compliance"/>
    <x v="4"/>
    <s v="Training"/>
    <s v="Training Task 08"/>
    <s v="High"/>
    <x v="0"/>
    <s v="BluePeak Services"/>
    <d v="2026-03-07T00:00:00"/>
    <d v="2026-03-28T00:00:00"/>
    <m/>
    <x v="2"/>
    <n v="0.85"/>
    <n v="11300"/>
    <n v="12688.77"/>
    <n v="0"/>
    <s v=""/>
    <n v="0"/>
    <n v="-1388.7700000000004"/>
  </r>
  <r>
    <s v="TSK-0234"/>
    <s v="PRJ-1024"/>
    <x v="23"/>
    <x v="2"/>
    <s v="Vendor Transition"/>
    <x v="5"/>
    <s v="Launch"/>
    <s v="Launch Task 08"/>
    <s v="High"/>
    <x v="1"/>
    <s v="Vertex Systems"/>
    <d v="2025-02-11T00:00:00"/>
    <d v="2025-02-26T00:00:00"/>
    <m/>
    <x v="2"/>
    <n v="0.75"/>
    <n v="22200"/>
    <n v="19416.18"/>
    <n v="2"/>
    <s v=""/>
    <n v="0"/>
    <n v="2783.8199999999997"/>
  </r>
  <r>
    <s v="TSK-0235"/>
    <s v="PRJ-1025"/>
    <x v="24"/>
    <x v="3"/>
    <s v="System Implementation"/>
    <x v="0"/>
    <s v="Closeout"/>
    <s v="Closeout Task 08"/>
    <s v="Low"/>
    <x v="2"/>
    <s v="Northstar Consulting"/>
    <d v="2026-01-12T00:00:00"/>
    <d v="2026-02-02T00:00:00"/>
    <m/>
    <x v="1"/>
    <n v="0.1"/>
    <n v="40400"/>
    <n v="35964.83"/>
    <n v="3"/>
    <s v=""/>
    <n v="0"/>
    <n v="4435.1699999999983"/>
  </r>
  <r>
    <s v="TSK-0236"/>
    <s v="PRJ-1026"/>
    <x v="25"/>
    <x v="4"/>
    <s v="Cost Reduction"/>
    <x v="1"/>
    <s v="Discovery"/>
    <s v="Discovery Task 08"/>
    <s v="Critical"/>
    <x v="2"/>
    <s v="Apex Solutions"/>
    <d v="2025-06-25T00:00:00"/>
    <d v="2025-06-29T00:00:00"/>
    <d v="2025-06-29T00:00:00"/>
    <x v="0"/>
    <n v="1"/>
    <n v="31300"/>
    <n v="31108.67"/>
    <n v="3"/>
    <n v="0"/>
    <n v="0"/>
    <n v="191.33000000000175"/>
  </r>
  <r>
    <s v="TSK-0237"/>
    <s v="PRJ-1027"/>
    <x v="26"/>
    <x v="5"/>
    <s v="Automation"/>
    <x v="2"/>
    <s v="Planning"/>
    <s v="Planning Task 08"/>
    <s v="High"/>
    <x v="0"/>
    <s v="Summit Partners"/>
    <d v="2026-01-11T00:00:00"/>
    <d v="2026-01-20T00:00:00"/>
    <d v="2026-01-22T00:00:00"/>
    <x v="0"/>
    <n v="1"/>
    <n v="18800"/>
    <n v="15910.11"/>
    <n v="2"/>
    <n v="2"/>
    <n v="0"/>
    <n v="2889.8899999999994"/>
  </r>
  <r>
    <s v="TSK-0238"/>
    <s v="PRJ-1028"/>
    <x v="27"/>
    <x v="6"/>
    <s v="Process Improvement"/>
    <x v="3"/>
    <s v="Requirements"/>
    <s v="Requirements Task 08"/>
    <s v="Medium"/>
    <x v="2"/>
    <s v="Internal Team"/>
    <d v="2026-04-21T00:00:00"/>
    <d v="2026-05-04T00:00:00"/>
    <m/>
    <x v="2"/>
    <n v="0.85"/>
    <n v="7600"/>
    <n v="7983.37"/>
    <n v="4"/>
    <s v=""/>
    <n v="0"/>
    <n v="-383.36999999999989"/>
  </r>
  <r>
    <s v="TSK-0239"/>
    <s v="PRJ-1029"/>
    <x v="28"/>
    <x v="0"/>
    <s v="Facility Upgrade"/>
    <x v="4"/>
    <s v="Configuration"/>
    <s v="Configuration Task 08"/>
    <s v="Medium"/>
    <x v="1"/>
    <s v="Internal Team"/>
    <d v="2026-04-21T00:00:00"/>
    <d v="2026-05-01T00:00:00"/>
    <d v="2026-05-02T00:00:00"/>
    <x v="0"/>
    <n v="1"/>
    <n v="16300"/>
    <n v="17972.689999999999"/>
    <n v="0"/>
    <n v="1"/>
    <n v="0"/>
    <n v="-1672.6899999999987"/>
  </r>
  <r>
    <s v="TSK-0240"/>
    <s v="PRJ-1030"/>
    <x v="29"/>
    <x v="1"/>
    <s v="Compliance"/>
    <x v="5"/>
    <s v="Testing"/>
    <s v="Testing Task 08"/>
    <s v="Medium"/>
    <x v="2"/>
    <s v="Internal Team"/>
    <d v="2025-12-20T00:00:00"/>
    <d v="2026-01-17T00:00:00"/>
    <m/>
    <x v="1"/>
    <n v="0.5"/>
    <n v="11400"/>
    <n v="10478.25"/>
    <n v="1"/>
    <s v=""/>
    <n v="0"/>
    <n v="921.75"/>
  </r>
  <r>
    <s v="TSK-0241"/>
    <s v="PRJ-1001"/>
    <x v="0"/>
    <x v="0"/>
    <s v="Facility Upgrade"/>
    <x v="0"/>
    <s v="Training"/>
    <s v="Training Task 09"/>
    <s v="Medium"/>
    <x v="2"/>
    <s v="Internal Team"/>
    <d v="2026-02-12T00:00:00"/>
    <d v="2026-03-12T00:00:00"/>
    <m/>
    <x v="0"/>
    <n v="0.25"/>
    <n v="5100"/>
    <n v="5702.89"/>
    <n v="3"/>
    <s v=""/>
    <n v="0"/>
    <n v="-602.89000000000033"/>
  </r>
  <r>
    <s v="TSK-0242"/>
    <s v="PRJ-1002"/>
    <x v="1"/>
    <x v="1"/>
    <s v="Compliance"/>
    <x v="1"/>
    <s v="Launch"/>
    <s v="Launch Task 09"/>
    <s v="High"/>
    <x v="2"/>
    <s v="Internal Team"/>
    <d v="2025-03-31T00:00:00"/>
    <d v="2025-04-05T00:00:00"/>
    <m/>
    <x v="0"/>
    <n v="0"/>
    <n v="14900"/>
    <n v="0"/>
    <n v="2"/>
    <s v=""/>
    <n v="0"/>
    <n v="14900"/>
  </r>
  <r>
    <s v="TSK-0243"/>
    <s v="PRJ-1003"/>
    <x v="2"/>
    <x v="2"/>
    <s v="Vendor Transition"/>
    <x v="2"/>
    <s v="Closeout"/>
    <s v="Closeout Task 09"/>
    <s v="Medium"/>
    <x v="0"/>
    <s v="Internal Team"/>
    <d v="2025-06-09T00:00:00"/>
    <d v="2025-06-28T00:00:00"/>
    <m/>
    <x v="0"/>
    <n v="0.25"/>
    <n v="5400"/>
    <n v="4753.2700000000004"/>
    <n v="1"/>
    <s v=""/>
    <n v="0"/>
    <n v="646.72999999999956"/>
  </r>
  <r>
    <s v="TSK-0244"/>
    <s v="PRJ-1004"/>
    <x v="3"/>
    <x v="3"/>
    <s v="System Implementation"/>
    <x v="3"/>
    <s v="Discovery"/>
    <s v="Discovery Task 09"/>
    <s v="High"/>
    <x v="1"/>
    <s v="Internal Team"/>
    <d v="2026-05-05T00:00:00"/>
    <d v="2026-05-20T00:00:00"/>
    <d v="2026-05-21T00:00:00"/>
    <x v="0"/>
    <n v="1"/>
    <n v="44700"/>
    <n v="41610.94"/>
    <n v="3"/>
    <n v="1"/>
    <n v="0"/>
    <n v="3089.0599999999977"/>
  </r>
  <r>
    <s v="TSK-0245"/>
    <s v="PRJ-1005"/>
    <x v="4"/>
    <x v="4"/>
    <s v="Cost Reduction"/>
    <x v="4"/>
    <s v="Planning"/>
    <s v="Planning Task 09"/>
    <s v="High"/>
    <x v="0"/>
    <s v="Internal Team"/>
    <d v="2025-08-02T00:00:00"/>
    <d v="2025-08-20T00:00:00"/>
    <m/>
    <x v="0"/>
    <n v="0"/>
    <n v="8800"/>
    <n v="0"/>
    <n v="1"/>
    <s v=""/>
    <n v="0"/>
    <n v="8800"/>
  </r>
  <r>
    <s v="TSK-0246"/>
    <s v="PRJ-1006"/>
    <x v="5"/>
    <x v="5"/>
    <s v="Automation"/>
    <x v="5"/>
    <s v="Requirements"/>
    <s v="Requirements Task 09"/>
    <s v="High"/>
    <x v="0"/>
    <s v="BluePeak Services"/>
    <d v="2025-09-14T00:00:00"/>
    <d v="2025-10-06T00:00:00"/>
    <d v="2025-10-14T00:00:00"/>
    <x v="0"/>
    <n v="1"/>
    <n v="21400"/>
    <n v="22008.78"/>
    <n v="1"/>
    <n v="8"/>
    <n v="0"/>
    <n v="-608.77999999999884"/>
  </r>
  <r>
    <s v="TSK-0247"/>
    <s v="PRJ-1007"/>
    <x v="6"/>
    <x v="6"/>
    <s v="Process Improvement"/>
    <x v="0"/>
    <s v="Configuration"/>
    <s v="Configuration Task 09"/>
    <s v="Medium"/>
    <x v="2"/>
    <s v="Internal Team"/>
    <d v="2025-07-23T00:00:00"/>
    <d v="2025-08-09T00:00:00"/>
    <m/>
    <x v="0"/>
    <n v="0.9"/>
    <n v="37300"/>
    <n v="34835.25"/>
    <n v="0"/>
    <s v=""/>
    <n v="0"/>
    <n v="2464.75"/>
  </r>
  <r>
    <s v="TSK-0248"/>
    <s v="PRJ-1008"/>
    <x v="7"/>
    <x v="0"/>
    <s v="Facility Upgrade"/>
    <x v="1"/>
    <s v="Execution"/>
    <s v="Execution Task 09"/>
    <s v="Medium"/>
    <x v="2"/>
    <s v="Vertex Systems"/>
    <d v="2025-07-18T00:00:00"/>
    <d v="2025-07-31T00:00:00"/>
    <m/>
    <x v="0"/>
    <n v="0"/>
    <n v="18800"/>
    <n v="0"/>
    <n v="4"/>
    <s v=""/>
    <n v="0"/>
    <n v="18800"/>
  </r>
  <r>
    <s v="TSK-0249"/>
    <s v="PRJ-1009"/>
    <x v="8"/>
    <x v="1"/>
    <s v="Compliance"/>
    <x v="2"/>
    <s v="Testing"/>
    <s v="Testing Task 09"/>
    <s v="High"/>
    <x v="1"/>
    <s v="Vertex Systems"/>
    <d v="2026-04-11T00:00:00"/>
    <d v="2026-04-26T00:00:00"/>
    <m/>
    <x v="2"/>
    <n v="0.9"/>
    <n v="18600"/>
    <n v="21891.22"/>
    <n v="4"/>
    <s v=""/>
    <n v="0"/>
    <n v="-3291.2200000000012"/>
  </r>
  <r>
    <s v="TSK-0250"/>
    <s v="PRJ-1010"/>
    <x v="9"/>
    <x v="2"/>
    <s v="Vendor Transition"/>
    <x v="3"/>
    <s v="Training"/>
    <s v="Training Task 09"/>
    <s v="High"/>
    <x v="2"/>
    <s v="Vertex Systems"/>
    <d v="2025-07-17T00:00:00"/>
    <d v="2025-07-20T00:00:00"/>
    <m/>
    <x v="1"/>
    <n v="0.5"/>
    <n v="42500"/>
    <n v="45446.3"/>
    <n v="4"/>
    <s v=""/>
    <n v="0"/>
    <n v="-2946.3000000000029"/>
  </r>
  <r>
    <s v="TSK-0251"/>
    <s v="PRJ-1011"/>
    <x v="10"/>
    <x v="3"/>
    <s v="System Implementation"/>
    <x v="4"/>
    <s v="Launch"/>
    <s v="Launch Task 09"/>
    <s v="High"/>
    <x v="0"/>
    <s v="Summit Partners"/>
    <d v="2026-04-01T00:00:00"/>
    <d v="2026-04-25T00:00:00"/>
    <d v="2026-04-24T00:00:00"/>
    <x v="0"/>
    <n v="1"/>
    <n v="30200"/>
    <n v="28966.14"/>
    <n v="1"/>
    <n v="0"/>
    <n v="0"/>
    <n v="1233.8600000000006"/>
  </r>
  <r>
    <s v="TSK-0252"/>
    <s v="PRJ-1012"/>
    <x v="11"/>
    <x v="4"/>
    <s v="Cost Reduction"/>
    <x v="5"/>
    <s v="Closeout"/>
    <s v="Closeout Task 09"/>
    <s v="Low"/>
    <x v="1"/>
    <s v="Apex Solutions"/>
    <d v="2026-05-02T00:00:00"/>
    <d v="2026-05-22T00:00:00"/>
    <d v="2026-05-12T00:00:00"/>
    <x v="0"/>
    <n v="1"/>
    <n v="41500"/>
    <n v="42357.25"/>
    <n v="1"/>
    <n v="0"/>
    <n v="0"/>
    <n v="-857.25"/>
  </r>
  <r>
    <s v="TSK-0253"/>
    <s v="PRJ-1013"/>
    <x v="12"/>
    <x v="5"/>
    <s v="Automation"/>
    <x v="0"/>
    <s v="Discovery"/>
    <s v="Discovery Task 09"/>
    <s v="High"/>
    <x v="0"/>
    <s v="BluePeak Services"/>
    <d v="2026-02-26T00:00:00"/>
    <d v="2026-03-20T00:00:00"/>
    <d v="2026-04-01T00:00:00"/>
    <x v="0"/>
    <n v="1"/>
    <n v="30100"/>
    <n v="33586.58"/>
    <n v="0"/>
    <n v="12"/>
    <n v="0"/>
    <n v="-3486.5800000000017"/>
  </r>
  <r>
    <s v="TSK-0254"/>
    <s v="PRJ-1014"/>
    <x v="13"/>
    <x v="6"/>
    <s v="Process Improvement"/>
    <x v="1"/>
    <s v="Planning"/>
    <s v="Planning Task 09"/>
    <s v="Low"/>
    <x v="1"/>
    <s v="Vertex Systems"/>
    <d v="2025-06-01T00:00:00"/>
    <d v="2025-06-28T00:00:00"/>
    <m/>
    <x v="2"/>
    <n v="0.9"/>
    <n v="20200"/>
    <n v="24147.599999999999"/>
    <n v="4"/>
    <s v=""/>
    <n v="0"/>
    <n v="-3947.5999999999985"/>
  </r>
  <r>
    <s v="TSK-0255"/>
    <s v="PRJ-1015"/>
    <x v="14"/>
    <x v="0"/>
    <s v="Facility Upgrade"/>
    <x v="2"/>
    <s v="Requirements"/>
    <s v="Requirements Task 09"/>
    <s v="Medium"/>
    <x v="0"/>
    <s v="Northstar Consulting"/>
    <d v="2026-03-31T00:00:00"/>
    <d v="2026-04-10T00:00:00"/>
    <m/>
    <x v="2"/>
    <n v="0.6"/>
    <n v="21600"/>
    <n v="22153.759999999998"/>
    <n v="0"/>
    <s v=""/>
    <n v="0"/>
    <n v="-553.7599999999984"/>
  </r>
  <r>
    <s v="TSK-0256"/>
    <s v="PRJ-1016"/>
    <x v="15"/>
    <x v="1"/>
    <s v="Compliance"/>
    <x v="3"/>
    <s v="Configuration"/>
    <s v="Configuration Task 09"/>
    <s v="Medium"/>
    <x v="1"/>
    <s v="Apex Solutions"/>
    <d v="2025-10-24T00:00:00"/>
    <d v="2025-11-09T00:00:00"/>
    <d v="2025-11-01T00:00:00"/>
    <x v="0"/>
    <n v="1"/>
    <n v="5200"/>
    <n v="6016.72"/>
    <n v="1"/>
    <n v="0"/>
    <n v="0"/>
    <n v="-816.72000000000025"/>
  </r>
  <r>
    <s v="TSK-0257"/>
    <s v="PRJ-1017"/>
    <x v="16"/>
    <x v="2"/>
    <s v="Vendor Transition"/>
    <x v="4"/>
    <s v="Execution"/>
    <s v="Execution Task 09"/>
    <s v="Medium"/>
    <x v="0"/>
    <s v="Vertex Systems"/>
    <d v="2025-06-04T00:00:00"/>
    <d v="2025-06-22T00:00:00"/>
    <m/>
    <x v="2"/>
    <n v="0.25"/>
    <n v="20600"/>
    <n v="20360.02"/>
    <n v="0"/>
    <s v=""/>
    <n v="0"/>
    <n v="239.97999999999956"/>
  </r>
  <r>
    <s v="TSK-0258"/>
    <s v="PRJ-1018"/>
    <x v="17"/>
    <x v="3"/>
    <s v="System Implementation"/>
    <x v="5"/>
    <s v="Testing"/>
    <s v="Testing Task 09"/>
    <s v="Medium"/>
    <x v="2"/>
    <s v="Internal Team"/>
    <d v="2025-04-18T00:00:00"/>
    <d v="2025-05-11T00:00:00"/>
    <m/>
    <x v="3"/>
    <n v="0"/>
    <n v="36300"/>
    <n v="0"/>
    <n v="1"/>
    <s v=""/>
    <n v="0"/>
    <n v="36300"/>
  </r>
  <r>
    <s v="TSK-0259"/>
    <s v="PRJ-1019"/>
    <x v="18"/>
    <x v="4"/>
    <s v="Cost Reduction"/>
    <x v="0"/>
    <s v="Training"/>
    <s v="Training Task 09"/>
    <s v="Medium"/>
    <x v="2"/>
    <s v="Internal Team"/>
    <d v="2025-06-11T00:00:00"/>
    <d v="2025-06-28T00:00:00"/>
    <m/>
    <x v="2"/>
    <n v="0.6"/>
    <n v="28900"/>
    <n v="31288.44"/>
    <n v="3"/>
    <s v=""/>
    <n v="0"/>
    <n v="-2388.4399999999987"/>
  </r>
  <r>
    <s v="TSK-0260"/>
    <s v="PRJ-1020"/>
    <x v="19"/>
    <x v="5"/>
    <s v="Automation"/>
    <x v="1"/>
    <s v="Launch"/>
    <s v="Launch Task 09"/>
    <s v="Medium"/>
    <x v="2"/>
    <s v="Summit Partners"/>
    <d v="2025-08-20T00:00:00"/>
    <d v="2025-09-10T00:00:00"/>
    <m/>
    <x v="2"/>
    <n v="0.25"/>
    <n v="32200"/>
    <n v="34466.949999999997"/>
    <n v="4"/>
    <s v=""/>
    <n v="0"/>
    <n v="-2266.9499999999971"/>
  </r>
  <r>
    <s v="TSK-0261"/>
    <s v="PRJ-1021"/>
    <x v="20"/>
    <x v="6"/>
    <s v="Process Improvement"/>
    <x v="2"/>
    <s v="Closeout"/>
    <s v="Closeout Task 09"/>
    <s v="High"/>
    <x v="0"/>
    <s v="Internal Team"/>
    <d v="2025-09-19T00:00:00"/>
    <d v="2025-09-27T00:00:00"/>
    <m/>
    <x v="2"/>
    <n v="0.4"/>
    <n v="21400"/>
    <n v="21464.3"/>
    <n v="4"/>
    <s v=""/>
    <n v="0"/>
    <n v="-64.299999999999272"/>
  </r>
  <r>
    <s v="TSK-0262"/>
    <s v="PRJ-1022"/>
    <x v="21"/>
    <x v="0"/>
    <s v="Facility Upgrade"/>
    <x v="3"/>
    <s v="Discovery"/>
    <s v="Discovery Task 09"/>
    <s v="Medium"/>
    <x v="2"/>
    <s v="Northstar Consulting"/>
    <d v="2025-12-30T00:00:00"/>
    <d v="2026-01-20T00:00:00"/>
    <m/>
    <x v="3"/>
    <n v="0"/>
    <n v="16800"/>
    <n v="0"/>
    <n v="2"/>
    <s v=""/>
    <n v="0"/>
    <n v="16800"/>
  </r>
  <r>
    <s v="TSK-0263"/>
    <s v="PRJ-1023"/>
    <x v="22"/>
    <x v="1"/>
    <s v="Compliance"/>
    <x v="4"/>
    <s v="Planning"/>
    <s v="Planning Task 09"/>
    <s v="High"/>
    <x v="2"/>
    <s v="BluePeak Services"/>
    <d v="2025-12-01T00:00:00"/>
    <d v="2025-12-25T00:00:00"/>
    <m/>
    <x v="3"/>
    <n v="0"/>
    <n v="6600"/>
    <n v="0"/>
    <n v="2"/>
    <s v=""/>
    <n v="0"/>
    <n v="6600"/>
  </r>
  <r>
    <s v="TSK-0264"/>
    <s v="PRJ-1024"/>
    <x v="23"/>
    <x v="2"/>
    <s v="Vendor Transition"/>
    <x v="5"/>
    <s v="Requirements"/>
    <s v="Requirements Task 09"/>
    <s v="High"/>
    <x v="0"/>
    <s v="Internal Team"/>
    <d v="2025-02-23T00:00:00"/>
    <d v="2025-03-16T00:00:00"/>
    <m/>
    <x v="2"/>
    <n v="0.4"/>
    <n v="22700"/>
    <n v="17707.240000000002"/>
    <n v="1"/>
    <s v=""/>
    <n v="0"/>
    <n v="4992.7599999999984"/>
  </r>
  <r>
    <s v="TSK-0265"/>
    <s v="PRJ-1025"/>
    <x v="24"/>
    <x v="3"/>
    <s v="System Implementation"/>
    <x v="0"/>
    <s v="Configuration"/>
    <s v="Configuration Task 09"/>
    <s v="Critical"/>
    <x v="0"/>
    <s v="Internal Team"/>
    <d v="2026-01-01T00:00:00"/>
    <d v="2026-01-08T00:00:00"/>
    <m/>
    <x v="2"/>
    <n v="0.9"/>
    <n v="21100"/>
    <n v="23588.080000000002"/>
    <n v="2"/>
    <s v=""/>
    <n v="0"/>
    <n v="-2488.0800000000017"/>
  </r>
  <r>
    <s v="TSK-0266"/>
    <s v="PRJ-1026"/>
    <x v="25"/>
    <x v="4"/>
    <s v="Cost Reduction"/>
    <x v="1"/>
    <s v="Execution"/>
    <s v="Execution Task 09"/>
    <s v="Low"/>
    <x v="0"/>
    <s v="Summit Partners"/>
    <d v="2025-09-07T00:00:00"/>
    <d v="2025-09-26T00:00:00"/>
    <d v="2025-09-21T00:00:00"/>
    <x v="0"/>
    <n v="1"/>
    <n v="32400"/>
    <n v="35288.71"/>
    <n v="0"/>
    <n v="0"/>
    <n v="0"/>
    <n v="-2888.7099999999991"/>
  </r>
  <r>
    <s v="TSK-0267"/>
    <s v="PRJ-1027"/>
    <x v="26"/>
    <x v="5"/>
    <s v="Automation"/>
    <x v="2"/>
    <s v="Testing"/>
    <s v="Testing Task 09"/>
    <s v="Medium"/>
    <x v="2"/>
    <s v="Internal Team"/>
    <d v="2026-01-15T00:00:00"/>
    <d v="2026-01-26T00:00:00"/>
    <m/>
    <x v="2"/>
    <n v="0.5"/>
    <n v="8800"/>
    <n v="9178.36"/>
    <n v="0"/>
    <s v=""/>
    <n v="0"/>
    <n v="-378.36000000000058"/>
  </r>
  <r>
    <s v="TSK-0268"/>
    <s v="PRJ-1028"/>
    <x v="27"/>
    <x v="6"/>
    <s v="Process Improvement"/>
    <x v="3"/>
    <s v="Training"/>
    <s v="Training Task 09"/>
    <s v="High"/>
    <x v="2"/>
    <s v="Internal Team"/>
    <d v="2026-01-02T00:00:00"/>
    <d v="2026-01-13T00:00:00"/>
    <d v="2026-01-18T00:00:00"/>
    <x v="0"/>
    <n v="1"/>
    <n v="37300"/>
    <n v="32933.1"/>
    <n v="3"/>
    <n v="5"/>
    <n v="0"/>
    <n v="4366.9000000000015"/>
  </r>
  <r>
    <s v="TSK-0269"/>
    <s v="PRJ-1029"/>
    <x v="28"/>
    <x v="0"/>
    <s v="Facility Upgrade"/>
    <x v="4"/>
    <s v="Launch"/>
    <s v="Launch Task 09"/>
    <s v="Low"/>
    <x v="2"/>
    <s v="Apex Solutions"/>
    <d v="2026-04-18T00:00:00"/>
    <d v="2026-04-24T00:00:00"/>
    <d v="2026-04-23T00:00:00"/>
    <x v="0"/>
    <n v="1"/>
    <n v="39600"/>
    <n v="37690.36"/>
    <n v="3"/>
    <n v="0"/>
    <n v="0"/>
    <n v="1909.6399999999994"/>
  </r>
  <r>
    <s v="TSK-0270"/>
    <s v="PRJ-1030"/>
    <x v="29"/>
    <x v="1"/>
    <s v="Compliance"/>
    <x v="5"/>
    <s v="Discovery"/>
    <s v="Discovery Task 09"/>
    <s v="High"/>
    <x v="0"/>
    <s v="Summit Partners"/>
    <d v="2025-11-11T00:00:00"/>
    <d v="2025-12-08T00:00:00"/>
    <d v="2025-12-11T00:00:00"/>
    <x v="0"/>
    <n v="1"/>
    <n v="10600"/>
    <n v="10673.42"/>
    <n v="0"/>
    <n v="3"/>
    <n v="0"/>
    <n v="-73.420000000000073"/>
  </r>
  <r>
    <s v="TSK-0271"/>
    <s v="PRJ-1001"/>
    <x v="0"/>
    <x v="0"/>
    <s v="Facility Upgrade"/>
    <x v="0"/>
    <s v="Planning"/>
    <s v="Planning Task 10"/>
    <s v="High"/>
    <x v="2"/>
    <s v="Internal Team"/>
    <d v="2026-01-03T00:00:00"/>
    <d v="2026-01-31T00:00:00"/>
    <m/>
    <x v="0"/>
    <n v="0.4"/>
    <n v="36500"/>
    <n v="32752.400000000001"/>
    <n v="1"/>
    <s v=""/>
    <n v="0"/>
    <n v="3747.5999999999985"/>
  </r>
  <r>
    <s v="TSK-0272"/>
    <s v="PRJ-1002"/>
    <x v="1"/>
    <x v="1"/>
    <s v="Compliance"/>
    <x v="1"/>
    <s v="Requirements"/>
    <s v="Requirements Task 10"/>
    <s v="High"/>
    <x v="0"/>
    <s v="BluePeak Services"/>
    <d v="2025-05-17T00:00:00"/>
    <d v="2025-05-29T00:00:00"/>
    <d v="2025-06-08T00:00:00"/>
    <x v="0"/>
    <n v="1"/>
    <n v="40700"/>
    <n v="39928.35"/>
    <n v="1"/>
    <n v="10"/>
    <n v="0"/>
    <n v="771.65000000000146"/>
  </r>
  <r>
    <s v="TSK-0273"/>
    <s v="PRJ-1003"/>
    <x v="2"/>
    <x v="2"/>
    <s v="Vendor Transition"/>
    <x v="2"/>
    <s v="Configuration"/>
    <s v="Configuration Task 10"/>
    <s v="High"/>
    <x v="0"/>
    <s v="Internal Team"/>
    <d v="2025-03-29T00:00:00"/>
    <d v="2025-04-28T00:00:00"/>
    <d v="2025-04-27T00:00:00"/>
    <x v="0"/>
    <n v="1"/>
    <n v="32000"/>
    <n v="33970.410000000003"/>
    <n v="2"/>
    <n v="0"/>
    <n v="0"/>
    <n v="-1970.4100000000035"/>
  </r>
  <r>
    <s v="TSK-0274"/>
    <s v="PRJ-1004"/>
    <x v="3"/>
    <x v="3"/>
    <s v="System Implementation"/>
    <x v="3"/>
    <s v="Execution"/>
    <s v="Execution Task 10"/>
    <s v="Medium"/>
    <x v="0"/>
    <s v="Summit Partners"/>
    <d v="2026-04-30T00:00:00"/>
    <d v="2026-05-18T00:00:00"/>
    <m/>
    <x v="0"/>
    <n v="0"/>
    <n v="29000"/>
    <n v="0"/>
    <n v="0"/>
    <s v=""/>
    <n v="0"/>
    <n v="29000"/>
  </r>
  <r>
    <s v="TSK-0275"/>
    <s v="PRJ-1005"/>
    <x v="4"/>
    <x v="4"/>
    <s v="Cost Reduction"/>
    <x v="4"/>
    <s v="Testing"/>
    <s v="Testing Task 10"/>
    <s v="Low"/>
    <x v="2"/>
    <s v="Vertex Systems"/>
    <d v="2025-09-06T00:00:00"/>
    <d v="2025-09-25T00:00:00"/>
    <d v="2025-09-22T00:00:00"/>
    <x v="0"/>
    <n v="1"/>
    <n v="21300"/>
    <n v="17213.169999999998"/>
    <n v="0"/>
    <n v="0"/>
    <n v="0"/>
    <n v="4086.8300000000017"/>
  </r>
  <r>
    <s v="TSK-0276"/>
    <s v="PRJ-1006"/>
    <x v="5"/>
    <x v="5"/>
    <s v="Automation"/>
    <x v="5"/>
    <s v="Training"/>
    <s v="Training Task 10"/>
    <s v="High"/>
    <x v="2"/>
    <s v="Internal Team"/>
    <d v="2025-09-05T00:00:00"/>
    <d v="2025-09-28T00:00:00"/>
    <d v="2025-10-01T00:00:00"/>
    <x v="0"/>
    <n v="1"/>
    <n v="17100"/>
    <n v="19586.16"/>
    <n v="2"/>
    <n v="3"/>
    <n v="0"/>
    <n v="-2486.16"/>
  </r>
  <r>
    <s v="TSK-0277"/>
    <s v="PRJ-1007"/>
    <x v="6"/>
    <x v="6"/>
    <s v="Process Improvement"/>
    <x v="0"/>
    <s v="Launch"/>
    <s v="Launch Task 10"/>
    <s v="Medium"/>
    <x v="0"/>
    <s v="Internal Team"/>
    <d v="2025-07-07T00:00:00"/>
    <d v="2025-07-20T00:00:00"/>
    <d v="2025-07-17T00:00:00"/>
    <x v="0"/>
    <n v="1"/>
    <n v="26100"/>
    <n v="29834.1"/>
    <n v="0"/>
    <n v="0"/>
    <n v="0"/>
    <n v="-3734.0999999999985"/>
  </r>
  <r>
    <s v="TSK-0278"/>
    <s v="PRJ-1008"/>
    <x v="7"/>
    <x v="0"/>
    <s v="Facility Upgrade"/>
    <x v="1"/>
    <s v="Closeout"/>
    <s v="Closeout Task 10"/>
    <s v="High"/>
    <x v="0"/>
    <s v="Internal Team"/>
    <d v="2025-07-13T00:00:00"/>
    <d v="2025-07-16T00:00:00"/>
    <m/>
    <x v="0"/>
    <n v="0"/>
    <n v="38800"/>
    <n v="0"/>
    <n v="1"/>
    <s v=""/>
    <n v="0"/>
    <n v="38800"/>
  </r>
  <r>
    <s v="TSK-0279"/>
    <s v="PRJ-1009"/>
    <x v="8"/>
    <x v="1"/>
    <s v="Compliance"/>
    <x v="2"/>
    <s v="Discovery"/>
    <s v="Discovery Task 10"/>
    <s v="Critical"/>
    <x v="0"/>
    <s v="Vertex Systems"/>
    <d v="2026-02-20T00:00:00"/>
    <d v="2026-03-15T00:00:00"/>
    <m/>
    <x v="2"/>
    <n v="0.9"/>
    <n v="42100"/>
    <n v="43003.41"/>
    <n v="1"/>
    <s v=""/>
    <n v="0"/>
    <n v="-903.41000000000349"/>
  </r>
  <r>
    <s v="TSK-0280"/>
    <s v="PRJ-1010"/>
    <x v="9"/>
    <x v="2"/>
    <s v="Vendor Transition"/>
    <x v="3"/>
    <s v="Planning"/>
    <s v="Planning Task 10"/>
    <s v="Medium"/>
    <x v="0"/>
    <s v="BluePeak Services"/>
    <d v="2025-04-10T00:00:00"/>
    <d v="2025-04-14T00:00:00"/>
    <m/>
    <x v="2"/>
    <n v="0.5"/>
    <n v="33100"/>
    <n v="39010.57"/>
    <n v="1"/>
    <s v=""/>
    <n v="0"/>
    <n v="-5910.57"/>
  </r>
  <r>
    <s v="TSK-0281"/>
    <s v="PRJ-1011"/>
    <x v="10"/>
    <x v="3"/>
    <s v="System Implementation"/>
    <x v="4"/>
    <s v="Requirements"/>
    <s v="Requirements Task 10"/>
    <s v="Low"/>
    <x v="0"/>
    <s v="Internal Team"/>
    <d v="2026-01-06T00:00:00"/>
    <d v="2026-01-13T00:00:00"/>
    <d v="2026-01-08T00:00:00"/>
    <x v="0"/>
    <n v="1"/>
    <n v="24100"/>
    <n v="24264.58"/>
    <n v="1"/>
    <n v="0"/>
    <n v="0"/>
    <n v="-164.58000000000175"/>
  </r>
  <r>
    <s v="TSK-0282"/>
    <s v="PRJ-1012"/>
    <x v="11"/>
    <x v="4"/>
    <s v="Cost Reduction"/>
    <x v="5"/>
    <s v="Configuration"/>
    <s v="Configuration Task 10"/>
    <s v="Medium"/>
    <x v="0"/>
    <s v="Summit Partners"/>
    <d v="2026-02-22T00:00:00"/>
    <d v="2026-03-12T00:00:00"/>
    <m/>
    <x v="3"/>
    <n v="0"/>
    <n v="18200"/>
    <n v="0"/>
    <n v="1"/>
    <s v=""/>
    <n v="0"/>
    <n v="18200"/>
  </r>
  <r>
    <s v="TSK-0283"/>
    <s v="PRJ-1013"/>
    <x v="12"/>
    <x v="5"/>
    <s v="Automation"/>
    <x v="0"/>
    <s v="Execution"/>
    <s v="Execution Task 10"/>
    <s v="Medium"/>
    <x v="1"/>
    <s v="Internal Team"/>
    <d v="2025-11-15T00:00:00"/>
    <d v="2025-12-08T00:00:00"/>
    <m/>
    <x v="1"/>
    <n v="0.2"/>
    <n v="4500"/>
    <n v="4188.45"/>
    <n v="2"/>
    <s v=""/>
    <n v="0"/>
    <n v="311.55000000000018"/>
  </r>
  <r>
    <s v="TSK-0284"/>
    <s v="PRJ-1014"/>
    <x v="13"/>
    <x v="6"/>
    <s v="Process Improvement"/>
    <x v="1"/>
    <s v="Testing"/>
    <s v="Testing Task 10"/>
    <s v="Medium"/>
    <x v="0"/>
    <s v="Internal Team"/>
    <d v="2025-03-29T00:00:00"/>
    <d v="2025-04-14T00:00:00"/>
    <d v="2025-04-11T00:00:00"/>
    <x v="0"/>
    <n v="1"/>
    <n v="40500"/>
    <n v="42414.29"/>
    <n v="2"/>
    <n v="0"/>
    <n v="0"/>
    <n v="-1914.2900000000009"/>
  </r>
  <r>
    <s v="TSK-0285"/>
    <s v="PRJ-1015"/>
    <x v="14"/>
    <x v="0"/>
    <s v="Facility Upgrade"/>
    <x v="2"/>
    <s v="Training"/>
    <s v="Training Task 10"/>
    <s v="High"/>
    <x v="0"/>
    <s v="Internal Team"/>
    <d v="2025-12-09T00:00:00"/>
    <d v="2025-12-19T00:00:00"/>
    <m/>
    <x v="2"/>
    <n v="0.25"/>
    <n v="12300"/>
    <n v="13080.52"/>
    <n v="0"/>
    <s v=""/>
    <n v="0"/>
    <n v="-780.52000000000044"/>
  </r>
  <r>
    <s v="TSK-0286"/>
    <s v="PRJ-1016"/>
    <x v="15"/>
    <x v="1"/>
    <s v="Compliance"/>
    <x v="3"/>
    <s v="Launch"/>
    <s v="Launch Task 10"/>
    <s v="Medium"/>
    <x v="1"/>
    <s v="Internal Team"/>
    <d v="2025-10-26T00:00:00"/>
    <d v="2025-11-04T00:00:00"/>
    <d v="2025-10-30T00:00:00"/>
    <x v="0"/>
    <n v="1"/>
    <n v="23700"/>
    <n v="25329.43"/>
    <n v="2"/>
    <n v="0"/>
    <n v="0"/>
    <n v="-1629.4300000000003"/>
  </r>
  <r>
    <s v="TSK-0287"/>
    <s v="PRJ-1017"/>
    <x v="16"/>
    <x v="2"/>
    <s v="Vendor Transition"/>
    <x v="4"/>
    <s v="Closeout"/>
    <s v="Closeout Task 10"/>
    <s v="Low"/>
    <x v="1"/>
    <s v="BluePeak Services"/>
    <d v="2025-05-28T00:00:00"/>
    <d v="2025-06-12T00:00:00"/>
    <m/>
    <x v="3"/>
    <n v="0"/>
    <n v="23200"/>
    <n v="0"/>
    <n v="2"/>
    <s v=""/>
    <n v="0"/>
    <n v="23200"/>
  </r>
  <r>
    <s v="TSK-0288"/>
    <s v="PRJ-1018"/>
    <x v="17"/>
    <x v="3"/>
    <s v="System Implementation"/>
    <x v="5"/>
    <s v="Discovery"/>
    <s v="Discovery Task 10"/>
    <s v="Critical"/>
    <x v="1"/>
    <s v="BluePeak Services"/>
    <d v="2025-02-23T00:00:00"/>
    <d v="2025-03-10T00:00:00"/>
    <d v="2025-03-06T00:00:00"/>
    <x v="0"/>
    <n v="1"/>
    <n v="31200"/>
    <n v="32020.58"/>
    <n v="3"/>
    <n v="0"/>
    <n v="0"/>
    <n v="-820.58000000000175"/>
  </r>
  <r>
    <s v="TSK-0289"/>
    <s v="PRJ-1019"/>
    <x v="18"/>
    <x v="4"/>
    <s v="Cost Reduction"/>
    <x v="0"/>
    <s v="Planning"/>
    <s v="Planning Task 10"/>
    <s v="High"/>
    <x v="0"/>
    <s v="Internal Team"/>
    <d v="2025-04-30T00:00:00"/>
    <d v="2025-05-09T00:00:00"/>
    <m/>
    <x v="3"/>
    <n v="0"/>
    <n v="4100"/>
    <n v="0"/>
    <n v="2"/>
    <s v=""/>
    <n v="0"/>
    <n v="4100"/>
  </r>
  <r>
    <s v="TSK-0290"/>
    <s v="PRJ-1020"/>
    <x v="19"/>
    <x v="5"/>
    <s v="Automation"/>
    <x v="1"/>
    <s v="Requirements"/>
    <s v="Requirements Task 10"/>
    <s v="High"/>
    <x v="0"/>
    <s v="Internal Team"/>
    <d v="2025-08-07T00:00:00"/>
    <d v="2025-08-12T00:00:00"/>
    <d v="2025-08-06T00:00:00"/>
    <x v="0"/>
    <n v="1"/>
    <n v="24900"/>
    <n v="26055.03"/>
    <n v="2"/>
    <n v="0"/>
    <n v="0"/>
    <n v="-1155.0299999999988"/>
  </r>
  <r>
    <s v="TSK-0291"/>
    <s v="PRJ-1021"/>
    <x v="20"/>
    <x v="6"/>
    <s v="Process Improvement"/>
    <x v="2"/>
    <s v="Configuration"/>
    <s v="Configuration Task 10"/>
    <s v="Low"/>
    <x v="1"/>
    <s v="BluePeak Services"/>
    <d v="2025-06-13T00:00:00"/>
    <d v="2025-07-03T00:00:00"/>
    <m/>
    <x v="2"/>
    <n v="0.75"/>
    <n v="29100"/>
    <n v="33587.949999999997"/>
    <n v="1"/>
    <s v=""/>
    <n v="0"/>
    <n v="-4487.9499999999971"/>
  </r>
  <r>
    <s v="TSK-0292"/>
    <s v="PRJ-1022"/>
    <x v="21"/>
    <x v="0"/>
    <s v="Facility Upgrade"/>
    <x v="3"/>
    <s v="Execution"/>
    <s v="Execution Task 10"/>
    <s v="Low"/>
    <x v="2"/>
    <s v="Vertex Systems"/>
    <d v="2025-11-21T00:00:00"/>
    <d v="2025-11-25T00:00:00"/>
    <m/>
    <x v="2"/>
    <n v="0.6"/>
    <n v="6500"/>
    <n v="6446.87"/>
    <n v="1"/>
    <s v=""/>
    <n v="0"/>
    <n v="53.130000000000109"/>
  </r>
  <r>
    <s v="TSK-0293"/>
    <s v="PRJ-1023"/>
    <x v="22"/>
    <x v="1"/>
    <s v="Compliance"/>
    <x v="4"/>
    <s v="Testing"/>
    <s v="Testing Task 10"/>
    <s v="High"/>
    <x v="2"/>
    <s v="Internal Team"/>
    <d v="2025-11-13T00:00:00"/>
    <d v="2025-12-08T00:00:00"/>
    <m/>
    <x v="3"/>
    <n v="0"/>
    <n v="2000"/>
    <n v="0"/>
    <n v="2"/>
    <s v=""/>
    <n v="0"/>
    <n v="2000"/>
  </r>
  <r>
    <s v="TSK-0294"/>
    <s v="PRJ-1024"/>
    <x v="23"/>
    <x v="2"/>
    <s v="Vendor Transition"/>
    <x v="5"/>
    <s v="Training"/>
    <s v="Training Task 10"/>
    <s v="Medium"/>
    <x v="2"/>
    <s v="Internal Team"/>
    <d v="2025-04-24T00:00:00"/>
    <d v="2025-05-01T00:00:00"/>
    <d v="2025-05-11T00:00:00"/>
    <x v="0"/>
    <n v="1"/>
    <n v="6600"/>
    <n v="5889.77"/>
    <n v="3"/>
    <n v="10"/>
    <n v="0"/>
    <n v="710.22999999999956"/>
  </r>
  <r>
    <s v="TSK-0295"/>
    <s v="PRJ-1025"/>
    <x v="24"/>
    <x v="3"/>
    <s v="System Implementation"/>
    <x v="0"/>
    <s v="Launch"/>
    <s v="Launch Task 10"/>
    <s v="Medium"/>
    <x v="2"/>
    <s v="Internal Team"/>
    <d v="2026-03-16T00:00:00"/>
    <d v="2026-04-08T00:00:00"/>
    <m/>
    <x v="3"/>
    <n v="0"/>
    <n v="21300"/>
    <n v="0"/>
    <n v="1"/>
    <s v=""/>
    <n v="0"/>
    <n v="21300"/>
  </r>
  <r>
    <s v="TSK-0296"/>
    <s v="PRJ-1026"/>
    <x v="25"/>
    <x v="4"/>
    <s v="Cost Reduction"/>
    <x v="1"/>
    <s v="Closeout"/>
    <s v="Closeout Task 10"/>
    <s v="Medium"/>
    <x v="0"/>
    <s v="Internal Team"/>
    <d v="2025-05-13T00:00:00"/>
    <d v="2025-06-03T00:00:00"/>
    <d v="2025-06-11T00:00:00"/>
    <x v="0"/>
    <n v="1"/>
    <n v="6500"/>
    <n v="6627.03"/>
    <n v="1"/>
    <n v="8"/>
    <n v="0"/>
    <n v="-127.02999999999975"/>
  </r>
  <r>
    <s v="TSK-0297"/>
    <s v="PRJ-1027"/>
    <x v="26"/>
    <x v="5"/>
    <s v="Automation"/>
    <x v="2"/>
    <s v="Discovery"/>
    <s v="Discovery Task 10"/>
    <s v="High"/>
    <x v="0"/>
    <s v="Internal Team"/>
    <d v="2026-04-10T00:00:00"/>
    <d v="2026-04-25T00:00:00"/>
    <d v="2026-05-05T00:00:00"/>
    <x v="0"/>
    <n v="1"/>
    <n v="3000"/>
    <n v="3816.28"/>
    <n v="2"/>
    <n v="10"/>
    <n v="0"/>
    <n v="-816.2800000000002"/>
  </r>
  <r>
    <s v="TSK-0298"/>
    <s v="PRJ-1028"/>
    <x v="27"/>
    <x v="6"/>
    <s v="Process Improvement"/>
    <x v="3"/>
    <s v="Planning"/>
    <s v="Planning Task 10"/>
    <s v="High"/>
    <x v="0"/>
    <s v="Internal Team"/>
    <d v="2026-02-23T00:00:00"/>
    <d v="2026-03-06T00:00:00"/>
    <d v="2026-02-26T00:00:00"/>
    <x v="0"/>
    <n v="1"/>
    <n v="26400"/>
    <n v="30105.78"/>
    <n v="3"/>
    <n v="0"/>
    <n v="0"/>
    <n v="-3705.7799999999988"/>
  </r>
  <r>
    <s v="TSK-0299"/>
    <s v="PRJ-1029"/>
    <x v="28"/>
    <x v="0"/>
    <s v="Facility Upgrade"/>
    <x v="4"/>
    <s v="Requirements"/>
    <s v="Requirements Task 10"/>
    <s v="Low"/>
    <x v="0"/>
    <s v="Apex Solutions"/>
    <d v="2026-01-11T00:00:00"/>
    <d v="2026-01-26T00:00:00"/>
    <m/>
    <x v="3"/>
    <n v="0"/>
    <n v="21700"/>
    <n v="0"/>
    <n v="4"/>
    <s v=""/>
    <n v="0"/>
    <n v="21700"/>
  </r>
  <r>
    <s v="TSK-0300"/>
    <s v="PRJ-1030"/>
    <x v="29"/>
    <x v="1"/>
    <s v="Compliance"/>
    <x v="5"/>
    <s v="Execution"/>
    <s v="Execution Task 10"/>
    <s v="Medium"/>
    <x v="2"/>
    <s v="Internal Team"/>
    <d v="2025-12-02T00:00:00"/>
    <d v="2025-12-14T00:00:00"/>
    <d v="2025-12-13T00:00:00"/>
    <x v="0"/>
    <n v="1"/>
    <n v="21700"/>
    <n v="25277.48"/>
    <n v="0"/>
    <n v="0"/>
    <n v="0"/>
    <n v="-3577.4799999999996"/>
  </r>
  <r>
    <s v="TSK-0301"/>
    <s v="PRJ-1001"/>
    <x v="0"/>
    <x v="0"/>
    <s v="Facility Upgrade"/>
    <x v="0"/>
    <s v="Testing"/>
    <s v="Testing Task 11"/>
    <s v="High"/>
    <x v="0"/>
    <s v="BluePeak Services"/>
    <d v="2026-01-30T00:00:00"/>
    <d v="2026-02-06T00:00:00"/>
    <m/>
    <x v="0"/>
    <n v="0"/>
    <n v="19300"/>
    <n v="0"/>
    <n v="1"/>
    <s v=""/>
    <n v="0"/>
    <n v="19300"/>
  </r>
  <r>
    <s v="TSK-0302"/>
    <s v="PRJ-1002"/>
    <x v="1"/>
    <x v="1"/>
    <s v="Compliance"/>
    <x v="1"/>
    <s v="Training"/>
    <s v="Training Task 11"/>
    <s v="High"/>
    <x v="1"/>
    <s v="BluePeak Services"/>
    <d v="2025-03-04T00:00:00"/>
    <d v="2025-03-31T00:00:00"/>
    <d v="2025-04-08T00:00:00"/>
    <x v="0"/>
    <n v="1"/>
    <n v="38400"/>
    <n v="40805.64"/>
    <n v="2"/>
    <n v="8"/>
    <n v="0"/>
    <n v="-2405.6399999999994"/>
  </r>
  <r>
    <s v="TSK-0303"/>
    <s v="PRJ-1003"/>
    <x v="2"/>
    <x v="2"/>
    <s v="Vendor Transition"/>
    <x v="2"/>
    <s v="Launch"/>
    <s v="Launch Task 11"/>
    <s v="Medium"/>
    <x v="0"/>
    <s v="Apex Solutions"/>
    <d v="2025-02-02T00:00:00"/>
    <d v="2025-02-09T00:00:00"/>
    <d v="2025-02-24T00:00:00"/>
    <x v="0"/>
    <n v="1"/>
    <n v="40500"/>
    <n v="46852.46"/>
    <n v="0"/>
    <n v="15"/>
    <n v="0"/>
    <n v="-6352.4599999999991"/>
  </r>
  <r>
    <s v="TSK-0304"/>
    <s v="PRJ-1004"/>
    <x v="3"/>
    <x v="3"/>
    <s v="System Implementation"/>
    <x v="3"/>
    <s v="Closeout"/>
    <s v="Closeout Task 11"/>
    <s v="Medium"/>
    <x v="1"/>
    <s v="Internal Team"/>
    <d v="2026-02-13T00:00:00"/>
    <d v="2026-03-04T00:00:00"/>
    <m/>
    <x v="0"/>
    <n v="0"/>
    <n v="37200"/>
    <n v="0"/>
    <n v="5"/>
    <s v=""/>
    <n v="0"/>
    <n v="37200"/>
  </r>
  <r>
    <s v="TSK-0305"/>
    <s v="PRJ-1005"/>
    <x v="4"/>
    <x v="4"/>
    <s v="Cost Reduction"/>
    <x v="4"/>
    <s v="Discovery"/>
    <s v="Discovery Task 11"/>
    <s v="Medium"/>
    <x v="1"/>
    <s v="Internal Team"/>
    <d v="2025-07-31T00:00:00"/>
    <d v="2025-08-30T00:00:00"/>
    <m/>
    <x v="0"/>
    <n v="0.9"/>
    <n v="18600"/>
    <n v="21102.65"/>
    <n v="4"/>
    <s v=""/>
    <n v="0"/>
    <n v="-2502.6500000000015"/>
  </r>
  <r>
    <s v="TSK-0306"/>
    <s v="PRJ-1006"/>
    <x v="5"/>
    <x v="5"/>
    <s v="Automation"/>
    <x v="5"/>
    <s v="Planning"/>
    <s v="Planning Task 11"/>
    <s v="Medium"/>
    <x v="0"/>
    <s v="BluePeak Services"/>
    <d v="2025-06-14T00:00:00"/>
    <d v="2025-07-11T00:00:00"/>
    <d v="2025-07-08T00:00:00"/>
    <x v="0"/>
    <n v="1"/>
    <n v="6200"/>
    <n v="6910.97"/>
    <n v="2"/>
    <n v="0"/>
    <n v="0"/>
    <n v="-710.97000000000025"/>
  </r>
  <r>
    <s v="TSK-0307"/>
    <s v="PRJ-1007"/>
    <x v="6"/>
    <x v="6"/>
    <s v="Process Improvement"/>
    <x v="0"/>
    <s v="Requirements"/>
    <s v="Requirements Task 11"/>
    <s v="Medium"/>
    <x v="0"/>
    <s v="Internal Team"/>
    <d v="2025-06-22T00:00:00"/>
    <d v="2025-07-09T00:00:00"/>
    <m/>
    <x v="0"/>
    <n v="0.5"/>
    <n v="38600"/>
    <n v="45869.93"/>
    <n v="2"/>
    <s v=""/>
    <n v="0"/>
    <n v="-7269.93"/>
  </r>
  <r>
    <s v="TSK-0308"/>
    <s v="PRJ-1008"/>
    <x v="7"/>
    <x v="0"/>
    <s v="Facility Upgrade"/>
    <x v="1"/>
    <s v="Configuration"/>
    <s v="Configuration Task 11"/>
    <s v="Medium"/>
    <x v="2"/>
    <s v="Northstar Consulting"/>
    <d v="2025-05-12T00:00:00"/>
    <d v="2025-06-10T00:00:00"/>
    <d v="2025-06-19T00:00:00"/>
    <x v="0"/>
    <n v="1"/>
    <n v="43600"/>
    <n v="50539.79"/>
    <n v="1"/>
    <n v="9"/>
    <n v="0"/>
    <n v="-6939.7900000000009"/>
  </r>
  <r>
    <s v="TSK-0309"/>
    <s v="PRJ-1009"/>
    <x v="8"/>
    <x v="1"/>
    <s v="Compliance"/>
    <x v="2"/>
    <s v="Execution"/>
    <s v="Execution Task 11"/>
    <s v="Medium"/>
    <x v="2"/>
    <s v="Internal Team"/>
    <d v="2026-05-01T00:00:00"/>
    <d v="2026-05-31T00:00:00"/>
    <m/>
    <x v="2"/>
    <n v="0.85"/>
    <n v="25400"/>
    <n v="26445.07"/>
    <n v="2"/>
    <s v=""/>
    <n v="0"/>
    <n v="-1045.0699999999997"/>
  </r>
  <r>
    <s v="TSK-0310"/>
    <s v="PRJ-1010"/>
    <x v="9"/>
    <x v="2"/>
    <s v="Vendor Transition"/>
    <x v="3"/>
    <s v="Testing"/>
    <s v="Testing Task 11"/>
    <s v="High"/>
    <x v="0"/>
    <s v="Internal Team"/>
    <d v="2025-04-24T00:00:00"/>
    <d v="2025-05-01T00:00:00"/>
    <m/>
    <x v="2"/>
    <n v="0.6"/>
    <n v="17700"/>
    <n v="18560.11"/>
    <n v="0"/>
    <s v=""/>
    <n v="0"/>
    <n v="-860.11000000000058"/>
  </r>
  <r>
    <s v="TSK-0311"/>
    <s v="PRJ-1011"/>
    <x v="10"/>
    <x v="3"/>
    <s v="System Implementation"/>
    <x v="4"/>
    <s v="Training"/>
    <s v="Training Task 11"/>
    <s v="High"/>
    <x v="0"/>
    <s v="Summit Partners"/>
    <d v="2025-12-23T00:00:00"/>
    <d v="2025-12-28T00:00:00"/>
    <m/>
    <x v="2"/>
    <n v="0.85"/>
    <n v="20800"/>
    <n v="18812.419999999998"/>
    <n v="3"/>
    <s v=""/>
    <n v="0"/>
    <n v="1987.5800000000017"/>
  </r>
  <r>
    <s v="TSK-0312"/>
    <s v="PRJ-1012"/>
    <x v="11"/>
    <x v="4"/>
    <s v="Cost Reduction"/>
    <x v="5"/>
    <s v="Launch"/>
    <s v="Launch Task 11"/>
    <s v="High"/>
    <x v="0"/>
    <s v="Internal Team"/>
    <d v="2026-05-18T00:00:00"/>
    <d v="2026-05-22T00:00:00"/>
    <m/>
    <x v="3"/>
    <n v="0"/>
    <n v="26500"/>
    <n v="0"/>
    <n v="2"/>
    <s v=""/>
    <n v="0"/>
    <n v="26500"/>
  </r>
  <r>
    <s v="TSK-0313"/>
    <s v="PRJ-1013"/>
    <x v="12"/>
    <x v="5"/>
    <s v="Automation"/>
    <x v="0"/>
    <s v="Closeout"/>
    <s v="Closeout Task 11"/>
    <s v="Low"/>
    <x v="2"/>
    <s v="Internal Team"/>
    <d v="2025-12-05T00:00:00"/>
    <d v="2025-12-13T00:00:00"/>
    <m/>
    <x v="2"/>
    <n v="0.6"/>
    <n v="39900"/>
    <n v="36736.76"/>
    <n v="3"/>
    <s v=""/>
    <n v="0"/>
    <n v="3163.239999999998"/>
  </r>
  <r>
    <s v="TSK-0314"/>
    <s v="PRJ-1014"/>
    <x v="13"/>
    <x v="6"/>
    <s v="Process Improvement"/>
    <x v="1"/>
    <s v="Discovery"/>
    <s v="Discovery Task 11"/>
    <s v="Medium"/>
    <x v="0"/>
    <s v="Internal Team"/>
    <d v="2025-07-09T00:00:00"/>
    <d v="2025-07-27T00:00:00"/>
    <m/>
    <x v="3"/>
    <n v="0"/>
    <n v="13700"/>
    <n v="0"/>
    <n v="2"/>
    <s v=""/>
    <n v="0"/>
    <n v="13700"/>
  </r>
  <r>
    <s v="TSK-0315"/>
    <s v="PRJ-1015"/>
    <x v="14"/>
    <x v="0"/>
    <s v="Facility Upgrade"/>
    <x v="2"/>
    <s v="Planning"/>
    <s v="Planning Task 11"/>
    <s v="High"/>
    <x v="2"/>
    <s v="Northstar Consulting"/>
    <d v="2026-03-23T00:00:00"/>
    <d v="2026-04-20T00:00:00"/>
    <m/>
    <x v="3"/>
    <n v="0"/>
    <n v="18100"/>
    <n v="0"/>
    <n v="1"/>
    <s v=""/>
    <n v="0"/>
    <n v="18100"/>
  </r>
  <r>
    <s v="TSK-0316"/>
    <s v="PRJ-1016"/>
    <x v="15"/>
    <x v="1"/>
    <s v="Compliance"/>
    <x v="3"/>
    <s v="Requirements"/>
    <s v="Requirements Task 11"/>
    <s v="High"/>
    <x v="0"/>
    <s v="Apex Solutions"/>
    <d v="2025-10-31T00:00:00"/>
    <d v="2025-11-15T00:00:00"/>
    <m/>
    <x v="2"/>
    <n v="0.25"/>
    <n v="15400"/>
    <n v="13822.67"/>
    <n v="2"/>
    <s v=""/>
    <n v="0"/>
    <n v="1577.33"/>
  </r>
  <r>
    <s v="TSK-0317"/>
    <s v="PRJ-1017"/>
    <x v="16"/>
    <x v="2"/>
    <s v="Vendor Transition"/>
    <x v="4"/>
    <s v="Configuration"/>
    <s v="Configuration Task 11"/>
    <s v="High"/>
    <x v="0"/>
    <s v="BluePeak Services"/>
    <d v="2025-06-06T00:00:00"/>
    <d v="2025-06-20T00:00:00"/>
    <d v="2025-07-07T00:00:00"/>
    <x v="0"/>
    <n v="1"/>
    <n v="45000"/>
    <n v="48143.55"/>
    <n v="1"/>
    <n v="17"/>
    <n v="0"/>
    <n v="-3143.5500000000029"/>
  </r>
  <r>
    <s v="TSK-0318"/>
    <s v="PRJ-1018"/>
    <x v="17"/>
    <x v="3"/>
    <s v="System Implementation"/>
    <x v="5"/>
    <s v="Execution"/>
    <s v="Execution Task 11"/>
    <s v="High"/>
    <x v="0"/>
    <s v="Summit Partners"/>
    <d v="2025-02-04T00:00:00"/>
    <d v="2025-03-03T00:00:00"/>
    <m/>
    <x v="1"/>
    <n v="0.2"/>
    <n v="26500"/>
    <n v="29903.61"/>
    <n v="1"/>
    <s v=""/>
    <n v="0"/>
    <n v="-3403.6100000000006"/>
  </r>
  <r>
    <s v="TSK-0319"/>
    <s v="PRJ-1019"/>
    <x v="18"/>
    <x v="4"/>
    <s v="Cost Reduction"/>
    <x v="0"/>
    <s v="Testing"/>
    <s v="Testing Task 11"/>
    <s v="Critical"/>
    <x v="1"/>
    <s v="Internal Team"/>
    <d v="2025-04-23T00:00:00"/>
    <d v="2025-05-14T00:00:00"/>
    <m/>
    <x v="2"/>
    <n v="0.85"/>
    <n v="31800"/>
    <n v="34743.5"/>
    <n v="3"/>
    <s v=""/>
    <n v="0"/>
    <n v="-2943.5"/>
  </r>
  <r>
    <s v="TSK-0320"/>
    <s v="PRJ-1020"/>
    <x v="19"/>
    <x v="5"/>
    <s v="Automation"/>
    <x v="1"/>
    <s v="Training"/>
    <s v="Training Task 11"/>
    <s v="High"/>
    <x v="1"/>
    <s v="Apex Solutions"/>
    <d v="2025-09-18T00:00:00"/>
    <d v="2025-09-27T00:00:00"/>
    <d v="2025-10-06T00:00:00"/>
    <x v="0"/>
    <n v="1"/>
    <n v="25100"/>
    <n v="20052.919999999998"/>
    <n v="3"/>
    <n v="9"/>
    <n v="0"/>
    <n v="5047.0800000000017"/>
  </r>
  <r>
    <s v="TSK-0321"/>
    <s v="PRJ-1021"/>
    <x v="20"/>
    <x v="6"/>
    <s v="Process Improvement"/>
    <x v="2"/>
    <s v="Launch"/>
    <s v="Launch Task 11"/>
    <s v="Low"/>
    <x v="2"/>
    <s v="Internal Team"/>
    <d v="2025-09-04T00:00:00"/>
    <d v="2025-09-07T00:00:00"/>
    <m/>
    <x v="2"/>
    <n v="0.75"/>
    <n v="10300"/>
    <n v="10787.36"/>
    <n v="3"/>
    <s v=""/>
    <n v="0"/>
    <n v="-487.36000000000058"/>
  </r>
  <r>
    <s v="TSK-0322"/>
    <s v="PRJ-1022"/>
    <x v="21"/>
    <x v="0"/>
    <s v="Facility Upgrade"/>
    <x v="3"/>
    <s v="Closeout"/>
    <s v="Closeout Task 11"/>
    <s v="Critical"/>
    <x v="2"/>
    <s v="Internal Team"/>
    <d v="2025-09-26T00:00:00"/>
    <d v="2025-10-03T00:00:00"/>
    <d v="2025-10-13T00:00:00"/>
    <x v="0"/>
    <n v="1"/>
    <n v="41400"/>
    <n v="43572.5"/>
    <n v="0"/>
    <n v="10"/>
    <n v="0"/>
    <n v="-2172.5"/>
  </r>
  <r>
    <s v="TSK-0323"/>
    <s v="PRJ-1023"/>
    <x v="22"/>
    <x v="1"/>
    <s v="Compliance"/>
    <x v="4"/>
    <s v="Discovery"/>
    <s v="Discovery Task 11"/>
    <s v="High"/>
    <x v="1"/>
    <s v="Internal Team"/>
    <d v="2026-02-19T00:00:00"/>
    <d v="2026-03-12T00:00:00"/>
    <m/>
    <x v="3"/>
    <n v="0"/>
    <n v="14600"/>
    <n v="0"/>
    <n v="4"/>
    <s v=""/>
    <n v="0"/>
    <n v="14600"/>
  </r>
  <r>
    <s v="TSK-0324"/>
    <s v="PRJ-1024"/>
    <x v="23"/>
    <x v="2"/>
    <s v="Vendor Transition"/>
    <x v="5"/>
    <s v="Planning"/>
    <s v="Planning Task 11"/>
    <s v="Critical"/>
    <x v="2"/>
    <s v="BluePeak Services"/>
    <d v="2025-04-10T00:00:00"/>
    <d v="2025-04-18T00:00:00"/>
    <d v="2025-04-06T00:00:00"/>
    <x v="0"/>
    <n v="1"/>
    <n v="28200"/>
    <n v="26291.66"/>
    <n v="1"/>
    <n v="0"/>
    <n v="0"/>
    <n v="1908.3400000000001"/>
  </r>
  <r>
    <s v="TSK-0325"/>
    <s v="PRJ-1025"/>
    <x v="24"/>
    <x v="3"/>
    <s v="System Implementation"/>
    <x v="0"/>
    <s v="Requirements"/>
    <s v="Requirements Task 11"/>
    <s v="High"/>
    <x v="0"/>
    <s v="Vertex Systems"/>
    <d v="2026-01-03T00:00:00"/>
    <d v="2026-01-10T00:00:00"/>
    <m/>
    <x v="3"/>
    <n v="0"/>
    <n v="1600"/>
    <n v="0"/>
    <n v="1"/>
    <s v=""/>
    <n v="0"/>
    <n v="1600"/>
  </r>
  <r>
    <s v="TSK-0326"/>
    <s v="PRJ-1026"/>
    <x v="25"/>
    <x v="4"/>
    <s v="Cost Reduction"/>
    <x v="1"/>
    <s v="Configuration"/>
    <s v="Configuration Task 11"/>
    <s v="High"/>
    <x v="2"/>
    <s v="Apex Solutions"/>
    <d v="2025-06-02T00:00:00"/>
    <d v="2025-06-24T00:00:00"/>
    <m/>
    <x v="2"/>
    <n v="0.9"/>
    <n v="43600"/>
    <n v="38498.870000000003"/>
    <n v="2"/>
    <s v=""/>
    <n v="0"/>
    <n v="5101.1299999999974"/>
  </r>
  <r>
    <s v="TSK-0327"/>
    <s v="PRJ-1027"/>
    <x v="26"/>
    <x v="5"/>
    <s v="Automation"/>
    <x v="2"/>
    <s v="Execution"/>
    <s v="Execution Task 11"/>
    <s v="Critical"/>
    <x v="0"/>
    <s v="Vertex Systems"/>
    <d v="2026-03-08T00:00:00"/>
    <d v="2026-03-22T00:00:00"/>
    <m/>
    <x v="1"/>
    <n v="0.2"/>
    <n v="29200"/>
    <n v="33862.370000000003"/>
    <n v="4"/>
    <s v=""/>
    <n v="0"/>
    <n v="-4662.3700000000026"/>
  </r>
  <r>
    <s v="TSK-0328"/>
    <s v="PRJ-1028"/>
    <x v="27"/>
    <x v="6"/>
    <s v="Process Improvement"/>
    <x v="3"/>
    <s v="Testing"/>
    <s v="Testing Task 11"/>
    <s v="High"/>
    <x v="2"/>
    <s v="Internal Team"/>
    <d v="2025-12-06T00:00:00"/>
    <d v="2025-12-17T00:00:00"/>
    <m/>
    <x v="2"/>
    <n v="0.85"/>
    <n v="4400"/>
    <n v="4281.38"/>
    <n v="2"/>
    <s v=""/>
    <n v="0"/>
    <n v="118.61999999999989"/>
  </r>
  <r>
    <s v="TSK-0329"/>
    <s v="PRJ-1029"/>
    <x v="28"/>
    <x v="0"/>
    <s v="Facility Upgrade"/>
    <x v="4"/>
    <s v="Training"/>
    <s v="Training Task 11"/>
    <s v="Low"/>
    <x v="0"/>
    <s v="Vertex Systems"/>
    <d v="2026-02-11T00:00:00"/>
    <d v="2026-02-27T00:00:00"/>
    <d v="2026-03-04T00:00:00"/>
    <x v="0"/>
    <n v="1"/>
    <n v="18000"/>
    <n v="17482.29"/>
    <n v="1"/>
    <n v="5"/>
    <n v="0"/>
    <n v="517.70999999999913"/>
  </r>
  <r>
    <s v="TSK-0330"/>
    <s v="PRJ-1030"/>
    <x v="29"/>
    <x v="1"/>
    <s v="Compliance"/>
    <x v="5"/>
    <s v="Closeout"/>
    <s v="Closeout Task 11"/>
    <s v="Medium"/>
    <x v="1"/>
    <s v="Northstar Consulting"/>
    <d v="2025-12-08T00:00:00"/>
    <d v="2025-12-16T00:00:00"/>
    <m/>
    <x v="2"/>
    <n v="0.9"/>
    <n v="38300"/>
    <n v="39953.269999999997"/>
    <n v="4"/>
    <s v=""/>
    <n v="0"/>
    <n v="-1653.2699999999968"/>
  </r>
  <r>
    <s v="TSK-0331"/>
    <s v="PRJ-1001"/>
    <x v="0"/>
    <x v="0"/>
    <s v="Facility Upgrade"/>
    <x v="0"/>
    <s v="Discovery"/>
    <s v="Discovery Task 12"/>
    <s v="Critical"/>
    <x v="0"/>
    <s v="Internal Team"/>
    <d v="2026-03-05T00:00:00"/>
    <d v="2026-03-13T00:00:00"/>
    <d v="2026-03-01T00:00:00"/>
    <x v="0"/>
    <n v="1"/>
    <n v="5600"/>
    <n v="5328.46"/>
    <n v="0"/>
    <n v="0"/>
    <n v="0"/>
    <n v="271.53999999999996"/>
  </r>
  <r>
    <s v="TSK-0332"/>
    <s v="PRJ-1002"/>
    <x v="1"/>
    <x v="1"/>
    <s v="Compliance"/>
    <x v="1"/>
    <s v="Planning"/>
    <s v="Planning Task 12"/>
    <s v="Medium"/>
    <x v="0"/>
    <s v="BluePeak Services"/>
    <d v="2025-04-15T00:00:00"/>
    <d v="2025-05-07T00:00:00"/>
    <d v="2025-05-04T00:00:00"/>
    <x v="0"/>
    <n v="1"/>
    <n v="8300"/>
    <n v="8964.19"/>
    <n v="2"/>
    <n v="0"/>
    <n v="0"/>
    <n v="-664.19000000000051"/>
  </r>
  <r>
    <s v="TSK-0333"/>
    <s v="PRJ-1003"/>
    <x v="2"/>
    <x v="2"/>
    <s v="Vendor Transition"/>
    <x v="2"/>
    <s v="Requirements"/>
    <s v="Requirements Task 12"/>
    <s v="Medium"/>
    <x v="2"/>
    <s v="Vertex Systems"/>
    <d v="2025-06-05T00:00:00"/>
    <d v="2025-06-16T00:00:00"/>
    <d v="2025-06-17T00:00:00"/>
    <x v="0"/>
    <n v="1"/>
    <n v="18600"/>
    <n v="19850.349999999999"/>
    <n v="0"/>
    <n v="1"/>
    <n v="0"/>
    <n v="-1250.3499999999985"/>
  </r>
  <r>
    <s v="TSK-0334"/>
    <s v="PRJ-1004"/>
    <x v="3"/>
    <x v="3"/>
    <s v="System Implementation"/>
    <x v="3"/>
    <s v="Configuration"/>
    <s v="Configuration Task 12"/>
    <s v="Low"/>
    <x v="0"/>
    <s v="Internal Team"/>
    <d v="2026-05-22T00:00:00"/>
    <d v="2026-05-31T00:00:00"/>
    <m/>
    <x v="0"/>
    <n v="0"/>
    <n v="10500"/>
    <n v="0"/>
    <n v="0"/>
    <s v=""/>
    <n v="0"/>
    <n v="10500"/>
  </r>
  <r>
    <s v="TSK-0335"/>
    <s v="PRJ-1005"/>
    <x v="4"/>
    <x v="4"/>
    <s v="Cost Reduction"/>
    <x v="4"/>
    <s v="Execution"/>
    <s v="Execution Task 12"/>
    <s v="Medium"/>
    <x v="0"/>
    <s v="Vertex Systems"/>
    <d v="2025-09-23T00:00:00"/>
    <d v="2025-10-11T00:00:00"/>
    <d v="2025-09-28T00:00:00"/>
    <x v="0"/>
    <n v="1"/>
    <n v="13000"/>
    <n v="12370.27"/>
    <n v="0"/>
    <n v="0"/>
    <n v="0"/>
    <n v="629.72999999999956"/>
  </r>
  <r>
    <s v="TSK-0336"/>
    <s v="PRJ-1006"/>
    <x v="5"/>
    <x v="5"/>
    <s v="Automation"/>
    <x v="5"/>
    <s v="Testing"/>
    <s v="Testing Task 12"/>
    <s v="Medium"/>
    <x v="0"/>
    <s v="Internal Team"/>
    <d v="2025-05-22T00:00:00"/>
    <d v="2025-06-02T00:00:00"/>
    <m/>
    <x v="0"/>
    <n v="0.5"/>
    <n v="11300"/>
    <n v="11474.41"/>
    <n v="2"/>
    <s v=""/>
    <n v="0"/>
    <n v="-174.40999999999985"/>
  </r>
  <r>
    <s v="TSK-0337"/>
    <s v="PRJ-1007"/>
    <x v="6"/>
    <x v="6"/>
    <s v="Process Improvement"/>
    <x v="0"/>
    <s v="Training"/>
    <s v="Training Task 12"/>
    <s v="High"/>
    <x v="2"/>
    <s v="Internal Team"/>
    <d v="2025-07-27T00:00:00"/>
    <d v="2025-08-24T00:00:00"/>
    <d v="2025-09-04T00:00:00"/>
    <x v="0"/>
    <n v="1"/>
    <n v="25600"/>
    <n v="25424.01"/>
    <n v="3"/>
    <n v="11"/>
    <n v="0"/>
    <n v="175.9900000000016"/>
  </r>
  <r>
    <s v="TSK-0338"/>
    <s v="PRJ-1008"/>
    <x v="7"/>
    <x v="0"/>
    <s v="Facility Upgrade"/>
    <x v="1"/>
    <s v="Launch"/>
    <s v="Launch Task 12"/>
    <s v="Medium"/>
    <x v="2"/>
    <s v="Summit Partners"/>
    <d v="2025-07-17T00:00:00"/>
    <d v="2025-08-07T00:00:00"/>
    <d v="2025-07-29T00:00:00"/>
    <x v="0"/>
    <n v="1"/>
    <n v="22200"/>
    <n v="27280.82"/>
    <n v="3"/>
    <n v="0"/>
    <n v="0"/>
    <n v="-5080.82"/>
  </r>
  <r>
    <s v="TSK-0339"/>
    <s v="PRJ-1009"/>
    <x v="8"/>
    <x v="1"/>
    <s v="Compliance"/>
    <x v="2"/>
    <s v="Closeout"/>
    <s v="Closeout Task 12"/>
    <s v="High"/>
    <x v="0"/>
    <s v="BluePeak Services"/>
    <d v="2026-06-13T00:00:00"/>
    <d v="2026-07-07T00:00:00"/>
    <m/>
    <x v="2"/>
    <n v="0.2"/>
    <n v="6700"/>
    <n v="6854.5"/>
    <n v="0"/>
    <s v=""/>
    <n v="0"/>
    <n v="-154.5"/>
  </r>
  <r>
    <s v="TSK-0340"/>
    <s v="PRJ-1010"/>
    <x v="9"/>
    <x v="2"/>
    <s v="Vendor Transition"/>
    <x v="3"/>
    <s v="Discovery"/>
    <s v="Discovery Task 12"/>
    <s v="Critical"/>
    <x v="1"/>
    <s v="Summit Partners"/>
    <d v="2025-03-31T00:00:00"/>
    <d v="2025-04-04T00:00:00"/>
    <m/>
    <x v="2"/>
    <n v="0.85"/>
    <n v="20400"/>
    <n v="24979.99"/>
    <n v="3"/>
    <s v=""/>
    <n v="0"/>
    <n v="-4579.9900000000016"/>
  </r>
  <r>
    <s v="TSK-0341"/>
    <s v="PRJ-1011"/>
    <x v="10"/>
    <x v="3"/>
    <s v="System Implementation"/>
    <x v="4"/>
    <s v="Planning"/>
    <s v="Planning Task 12"/>
    <s v="High"/>
    <x v="0"/>
    <s v="BluePeak Services"/>
    <d v="2026-01-04T00:00:00"/>
    <d v="2026-01-09T00:00:00"/>
    <m/>
    <x v="2"/>
    <n v="0.6"/>
    <n v="25500"/>
    <n v="28119.32"/>
    <n v="0"/>
    <s v=""/>
    <n v="0"/>
    <n v="-2619.3199999999997"/>
  </r>
  <r>
    <s v="TSK-0342"/>
    <s v="PRJ-1012"/>
    <x v="11"/>
    <x v="4"/>
    <s v="Cost Reduction"/>
    <x v="5"/>
    <s v="Requirements"/>
    <s v="Requirements Task 12"/>
    <s v="Critical"/>
    <x v="0"/>
    <s v="Vertex Systems"/>
    <d v="2026-06-19T00:00:00"/>
    <d v="2026-07-08T00:00:00"/>
    <d v="2026-07-13T00:00:00"/>
    <x v="0"/>
    <n v="1"/>
    <n v="26100"/>
    <n v="27683.8"/>
    <n v="0"/>
    <n v="5"/>
    <n v="0"/>
    <n v="-1583.7999999999993"/>
  </r>
  <r>
    <s v="TSK-0343"/>
    <s v="PRJ-1013"/>
    <x v="12"/>
    <x v="5"/>
    <s v="Automation"/>
    <x v="0"/>
    <s v="Configuration"/>
    <s v="Configuration Task 12"/>
    <s v="Low"/>
    <x v="0"/>
    <s v="Vertex Systems"/>
    <d v="2025-12-24T00:00:00"/>
    <d v="2026-01-23T00:00:00"/>
    <d v="2026-01-16T00:00:00"/>
    <x v="0"/>
    <n v="1"/>
    <n v="16500"/>
    <n v="15318.57"/>
    <n v="2"/>
    <n v="0"/>
    <n v="0"/>
    <n v="1181.4300000000003"/>
  </r>
  <r>
    <s v="TSK-0344"/>
    <s v="PRJ-1014"/>
    <x v="13"/>
    <x v="6"/>
    <s v="Process Improvement"/>
    <x v="1"/>
    <s v="Execution"/>
    <s v="Execution Task 12"/>
    <s v="Medium"/>
    <x v="2"/>
    <s v="Internal Team"/>
    <d v="2025-04-30T00:00:00"/>
    <d v="2025-05-15T00:00:00"/>
    <m/>
    <x v="3"/>
    <n v="0"/>
    <n v="28000"/>
    <n v="0"/>
    <n v="1"/>
    <s v=""/>
    <n v="0"/>
    <n v="28000"/>
  </r>
  <r>
    <s v="TSK-0345"/>
    <s v="PRJ-1015"/>
    <x v="14"/>
    <x v="0"/>
    <s v="Facility Upgrade"/>
    <x v="2"/>
    <s v="Testing"/>
    <s v="Testing Task 12"/>
    <s v="High"/>
    <x v="0"/>
    <s v="Internal Team"/>
    <d v="2026-03-05T00:00:00"/>
    <d v="2026-03-16T00:00:00"/>
    <d v="2026-03-31T00:00:00"/>
    <x v="0"/>
    <n v="1"/>
    <n v="14700"/>
    <n v="15372.06"/>
    <n v="1"/>
    <n v="15"/>
    <n v="0"/>
    <n v="-672.05999999999949"/>
  </r>
  <r>
    <s v="TSK-0346"/>
    <s v="PRJ-1016"/>
    <x v="15"/>
    <x v="1"/>
    <s v="Compliance"/>
    <x v="3"/>
    <s v="Training"/>
    <s v="Training Task 12"/>
    <s v="High"/>
    <x v="0"/>
    <s v="Summit Partners"/>
    <d v="2025-09-13T00:00:00"/>
    <d v="2025-09-25T00:00:00"/>
    <m/>
    <x v="1"/>
    <n v="0.5"/>
    <n v="35200"/>
    <n v="40326.31"/>
    <n v="0"/>
    <s v=""/>
    <n v="0"/>
    <n v="-5126.3099999999977"/>
  </r>
  <r>
    <s v="TSK-0347"/>
    <s v="PRJ-1017"/>
    <x v="16"/>
    <x v="2"/>
    <s v="Vendor Transition"/>
    <x v="4"/>
    <s v="Launch"/>
    <s v="Launch Task 12"/>
    <s v="High"/>
    <x v="0"/>
    <s v="Internal Team"/>
    <d v="2025-05-06T00:00:00"/>
    <d v="2025-06-01T00:00:00"/>
    <d v="2025-06-13T00:00:00"/>
    <x v="0"/>
    <n v="1"/>
    <n v="24000"/>
    <n v="23849.4"/>
    <n v="2"/>
    <n v="12"/>
    <n v="0"/>
    <n v="150.59999999999854"/>
  </r>
  <r>
    <s v="TSK-0348"/>
    <s v="PRJ-1018"/>
    <x v="17"/>
    <x v="3"/>
    <s v="System Implementation"/>
    <x v="5"/>
    <s v="Closeout"/>
    <s v="Closeout Task 12"/>
    <s v="High"/>
    <x v="0"/>
    <s v="Vertex Systems"/>
    <d v="2025-05-04T00:00:00"/>
    <d v="2025-05-11T00:00:00"/>
    <d v="2025-05-04T00:00:00"/>
    <x v="0"/>
    <n v="1"/>
    <n v="9100"/>
    <n v="9084.68"/>
    <n v="2"/>
    <n v="0"/>
    <n v="0"/>
    <n v="15.319999999999709"/>
  </r>
  <r>
    <s v="TSK-0349"/>
    <s v="PRJ-1019"/>
    <x v="18"/>
    <x v="4"/>
    <s v="Cost Reduction"/>
    <x v="0"/>
    <s v="Discovery"/>
    <s v="Discovery Task 12"/>
    <s v="Low"/>
    <x v="0"/>
    <s v="Internal Team"/>
    <d v="2025-05-25T00:00:00"/>
    <d v="2025-06-19T00:00:00"/>
    <m/>
    <x v="2"/>
    <n v="0.5"/>
    <n v="37300"/>
    <n v="36106.080000000002"/>
    <n v="0"/>
    <s v=""/>
    <n v="0"/>
    <n v="1193.9199999999983"/>
  </r>
  <r>
    <s v="TSK-0350"/>
    <s v="PRJ-1020"/>
    <x v="19"/>
    <x v="5"/>
    <s v="Automation"/>
    <x v="1"/>
    <s v="Planning"/>
    <s v="Planning Task 12"/>
    <s v="Medium"/>
    <x v="0"/>
    <s v="Internal Team"/>
    <d v="2025-08-19T00:00:00"/>
    <d v="2025-08-27T00:00:00"/>
    <m/>
    <x v="1"/>
    <n v="0.5"/>
    <n v="27000"/>
    <n v="27404.13"/>
    <n v="1"/>
    <s v=""/>
    <n v="0"/>
    <n v="-404.13000000000102"/>
  </r>
  <r>
    <s v="TSK-0351"/>
    <s v="PRJ-1021"/>
    <x v="20"/>
    <x v="6"/>
    <s v="Process Improvement"/>
    <x v="2"/>
    <s v="Requirements"/>
    <s v="Requirements Task 12"/>
    <s v="High"/>
    <x v="2"/>
    <s v="Vertex Systems"/>
    <d v="2025-07-16T00:00:00"/>
    <d v="2025-07-19T00:00:00"/>
    <m/>
    <x v="2"/>
    <n v="0.4"/>
    <n v="38600"/>
    <n v="41426.949999999997"/>
    <n v="2"/>
    <s v=""/>
    <n v="0"/>
    <n v="-2826.9499999999971"/>
  </r>
  <r>
    <s v="TSK-0352"/>
    <s v="PRJ-1022"/>
    <x v="21"/>
    <x v="0"/>
    <s v="Facility Upgrade"/>
    <x v="3"/>
    <s v="Configuration"/>
    <s v="Configuration Task 12"/>
    <s v="Medium"/>
    <x v="0"/>
    <s v="Internal Team"/>
    <d v="2026-01-03T00:00:00"/>
    <d v="2026-01-22T00:00:00"/>
    <m/>
    <x v="3"/>
    <n v="0"/>
    <n v="35400"/>
    <n v="0"/>
    <n v="1"/>
    <s v=""/>
    <n v="0"/>
    <n v="35400"/>
  </r>
  <r>
    <s v="TSK-0353"/>
    <s v="PRJ-1023"/>
    <x v="22"/>
    <x v="1"/>
    <s v="Compliance"/>
    <x v="4"/>
    <s v="Execution"/>
    <s v="Execution Task 12"/>
    <s v="Critical"/>
    <x v="2"/>
    <s v="Northstar Consulting"/>
    <d v="2025-11-12T00:00:00"/>
    <d v="2025-11-22T00:00:00"/>
    <m/>
    <x v="2"/>
    <n v="0.9"/>
    <n v="42500"/>
    <n v="42728.76"/>
    <n v="1"/>
    <s v=""/>
    <n v="0"/>
    <n v="-228.76000000000204"/>
  </r>
  <r>
    <s v="TSK-0354"/>
    <s v="PRJ-1024"/>
    <x v="23"/>
    <x v="2"/>
    <s v="Vendor Transition"/>
    <x v="5"/>
    <s v="Testing"/>
    <s v="Testing Task 12"/>
    <s v="Medium"/>
    <x v="1"/>
    <s v="Summit Partners"/>
    <d v="2025-05-16T00:00:00"/>
    <d v="2025-05-27T00:00:00"/>
    <m/>
    <x v="2"/>
    <n v="0.5"/>
    <n v="31000"/>
    <n v="27955.48"/>
    <n v="4"/>
    <s v=""/>
    <n v="0"/>
    <n v="3044.5200000000004"/>
  </r>
  <r>
    <s v="TSK-0355"/>
    <s v="PRJ-1025"/>
    <x v="24"/>
    <x v="3"/>
    <s v="System Implementation"/>
    <x v="0"/>
    <s v="Training"/>
    <s v="Training Task 12"/>
    <s v="Low"/>
    <x v="0"/>
    <s v="Northstar Consulting"/>
    <d v="2026-01-23T00:00:00"/>
    <d v="2026-02-12T00:00:00"/>
    <d v="2026-02-08T00:00:00"/>
    <x v="0"/>
    <n v="1"/>
    <n v="28000"/>
    <n v="28118.16"/>
    <n v="2"/>
    <n v="0"/>
    <n v="0"/>
    <n v="-118.15999999999985"/>
  </r>
  <r>
    <s v="TSK-0356"/>
    <s v="PRJ-1026"/>
    <x v="25"/>
    <x v="4"/>
    <s v="Cost Reduction"/>
    <x v="1"/>
    <s v="Launch"/>
    <s v="Launch Task 12"/>
    <s v="Low"/>
    <x v="1"/>
    <s v="Northstar Consulting"/>
    <d v="2025-06-26T00:00:00"/>
    <d v="2025-07-07T00:00:00"/>
    <d v="2025-07-19T00:00:00"/>
    <x v="0"/>
    <n v="1"/>
    <n v="9700"/>
    <n v="9920.57"/>
    <n v="2"/>
    <n v="12"/>
    <n v="0"/>
    <n v="-220.56999999999971"/>
  </r>
  <r>
    <s v="TSK-0357"/>
    <s v="PRJ-1027"/>
    <x v="26"/>
    <x v="5"/>
    <s v="Automation"/>
    <x v="2"/>
    <s v="Closeout"/>
    <s v="Closeout Task 12"/>
    <s v="Low"/>
    <x v="1"/>
    <s v="Summit Partners"/>
    <d v="2026-04-20T00:00:00"/>
    <d v="2026-05-14T00:00:00"/>
    <m/>
    <x v="2"/>
    <n v="0.4"/>
    <n v="32900"/>
    <n v="34912.03"/>
    <n v="0"/>
    <s v=""/>
    <n v="0"/>
    <n v="-2012.0299999999988"/>
  </r>
  <r>
    <s v="TSK-0358"/>
    <s v="PRJ-1028"/>
    <x v="27"/>
    <x v="6"/>
    <s v="Process Improvement"/>
    <x v="3"/>
    <s v="Discovery"/>
    <s v="Discovery Task 12"/>
    <s v="Medium"/>
    <x v="0"/>
    <s v="Internal Team"/>
    <d v="2025-12-13T00:00:00"/>
    <d v="2026-01-03T00:00:00"/>
    <d v="2025-12-16T00:00:00"/>
    <x v="0"/>
    <n v="1"/>
    <n v="26400"/>
    <n v="28651.85"/>
    <n v="3"/>
    <n v="0"/>
    <n v="0"/>
    <n v="-2251.8499999999985"/>
  </r>
  <r>
    <s v="TSK-0359"/>
    <s v="PRJ-1029"/>
    <x v="28"/>
    <x v="0"/>
    <s v="Facility Upgrade"/>
    <x v="4"/>
    <s v="Planning"/>
    <s v="Planning Task 12"/>
    <s v="Medium"/>
    <x v="2"/>
    <s v="Vertex Systems"/>
    <d v="2026-04-01T00:00:00"/>
    <d v="2026-04-20T00:00:00"/>
    <m/>
    <x v="2"/>
    <n v="0.4"/>
    <n v="38100"/>
    <n v="40753.019999999997"/>
    <n v="1"/>
    <s v=""/>
    <n v="0"/>
    <n v="-2653.0199999999968"/>
  </r>
  <r>
    <s v="TSK-0360"/>
    <s v="PRJ-1030"/>
    <x v="29"/>
    <x v="1"/>
    <s v="Compliance"/>
    <x v="5"/>
    <s v="Configuration"/>
    <s v="Configuration Task 12"/>
    <s v="Low"/>
    <x v="0"/>
    <s v="Internal Team"/>
    <d v="2026-03-04T00:00:00"/>
    <d v="2026-03-31T00:00:00"/>
    <d v="2026-04-16T00:00:00"/>
    <x v="0"/>
    <n v="1"/>
    <n v="30000"/>
    <n v="28283.91"/>
    <n v="1"/>
    <n v="16"/>
    <n v="0"/>
    <n v="1716.0900000000001"/>
  </r>
  <r>
    <s v="TSK-0361"/>
    <s v="PRJ-1001"/>
    <x v="0"/>
    <x v="0"/>
    <s v="Facility Upgrade"/>
    <x v="0"/>
    <s v="Execution"/>
    <s v="Execution Task 13"/>
    <s v="High"/>
    <x v="0"/>
    <s v="Summit Partners"/>
    <d v="2026-03-04T00:00:00"/>
    <d v="2026-03-15T00:00:00"/>
    <d v="2026-03-22T00:00:00"/>
    <x v="0"/>
    <n v="1"/>
    <n v="21700"/>
    <n v="22719.52"/>
    <n v="1"/>
    <n v="7"/>
    <n v="0"/>
    <n v="-1019.5200000000004"/>
  </r>
  <r>
    <s v="TSK-0362"/>
    <s v="PRJ-1002"/>
    <x v="1"/>
    <x v="1"/>
    <s v="Compliance"/>
    <x v="1"/>
    <s v="Testing"/>
    <s v="Testing Task 13"/>
    <s v="High"/>
    <x v="2"/>
    <s v="Northstar Consulting"/>
    <d v="2025-07-02T00:00:00"/>
    <d v="2025-07-11T00:00:00"/>
    <d v="2025-07-18T00:00:00"/>
    <x v="0"/>
    <n v="1"/>
    <n v="14500"/>
    <n v="13633.23"/>
    <n v="4"/>
    <n v="7"/>
    <n v="0"/>
    <n v="866.77000000000044"/>
  </r>
  <r>
    <s v="TSK-0363"/>
    <s v="PRJ-1003"/>
    <x v="2"/>
    <x v="2"/>
    <s v="Vendor Transition"/>
    <x v="2"/>
    <s v="Training"/>
    <s v="Training Task 13"/>
    <s v="Medium"/>
    <x v="0"/>
    <s v="Internal Team"/>
    <d v="2025-06-12T00:00:00"/>
    <d v="2025-06-29T00:00:00"/>
    <m/>
    <x v="0"/>
    <n v="0"/>
    <n v="39000"/>
    <n v="0"/>
    <n v="1"/>
    <s v=""/>
    <n v="0"/>
    <n v="39000"/>
  </r>
  <r>
    <s v="TSK-0364"/>
    <s v="PRJ-1004"/>
    <x v="3"/>
    <x v="3"/>
    <s v="System Implementation"/>
    <x v="3"/>
    <s v="Launch"/>
    <s v="Launch Task 13"/>
    <s v="Medium"/>
    <x v="1"/>
    <s v="Internal Team"/>
    <d v="2026-02-03T00:00:00"/>
    <d v="2026-02-06T00:00:00"/>
    <m/>
    <x v="0"/>
    <n v="0.4"/>
    <n v="34600"/>
    <n v="38437.230000000003"/>
    <n v="4"/>
    <s v=""/>
    <n v="0"/>
    <n v="-3837.2300000000032"/>
  </r>
  <r>
    <s v="TSK-0365"/>
    <s v="PRJ-1005"/>
    <x v="4"/>
    <x v="4"/>
    <s v="Cost Reduction"/>
    <x v="4"/>
    <s v="Closeout"/>
    <s v="Closeout Task 13"/>
    <s v="Medium"/>
    <x v="2"/>
    <s v="Internal Team"/>
    <d v="2025-09-14T00:00:00"/>
    <d v="2025-10-07T00:00:00"/>
    <m/>
    <x v="0"/>
    <n v="0.6"/>
    <n v="43500"/>
    <n v="51466.11"/>
    <n v="1"/>
    <s v=""/>
    <n v="0"/>
    <n v="-7966.1100000000006"/>
  </r>
  <r>
    <s v="TSK-0366"/>
    <s v="PRJ-1006"/>
    <x v="5"/>
    <x v="5"/>
    <s v="Automation"/>
    <x v="5"/>
    <s v="Discovery"/>
    <s v="Discovery Task 13"/>
    <s v="Medium"/>
    <x v="0"/>
    <s v="Internal Team"/>
    <d v="2025-08-01T00:00:00"/>
    <d v="2025-08-28T00:00:00"/>
    <d v="2025-08-31T00:00:00"/>
    <x v="0"/>
    <n v="1"/>
    <n v="9800"/>
    <n v="9323.83"/>
    <n v="0"/>
    <n v="3"/>
    <n v="0"/>
    <n v="476.17000000000007"/>
  </r>
  <r>
    <s v="TSK-0367"/>
    <s v="PRJ-1007"/>
    <x v="6"/>
    <x v="6"/>
    <s v="Process Improvement"/>
    <x v="0"/>
    <s v="Planning"/>
    <s v="Planning Task 13"/>
    <s v="Medium"/>
    <x v="2"/>
    <s v="Internal Team"/>
    <d v="2025-06-02T00:00:00"/>
    <d v="2025-06-08T00:00:00"/>
    <m/>
    <x v="0"/>
    <n v="0.75"/>
    <n v="14800"/>
    <n v="15552.73"/>
    <n v="2"/>
    <s v=""/>
    <n v="0"/>
    <n v="-752.72999999999956"/>
  </r>
  <r>
    <s v="TSK-0368"/>
    <s v="PRJ-1008"/>
    <x v="7"/>
    <x v="0"/>
    <s v="Facility Upgrade"/>
    <x v="1"/>
    <s v="Requirements"/>
    <s v="Requirements Task 13"/>
    <s v="Critical"/>
    <x v="0"/>
    <s v="Apex Solutions"/>
    <d v="2025-07-30T00:00:00"/>
    <d v="2025-08-12T00:00:00"/>
    <m/>
    <x v="0"/>
    <n v="0.85"/>
    <n v="44800"/>
    <n v="39859.4"/>
    <n v="4"/>
    <s v=""/>
    <n v="0"/>
    <n v="4940.5999999999985"/>
  </r>
  <r>
    <s v="TSK-0369"/>
    <s v="PRJ-1009"/>
    <x v="8"/>
    <x v="1"/>
    <s v="Compliance"/>
    <x v="2"/>
    <s v="Configuration"/>
    <s v="Configuration Task 13"/>
    <s v="Medium"/>
    <x v="0"/>
    <s v="BluePeak Services"/>
    <d v="2026-05-01T00:00:00"/>
    <d v="2026-05-04T00:00:00"/>
    <m/>
    <x v="2"/>
    <n v="0.85"/>
    <n v="44300"/>
    <n v="45433.67"/>
    <n v="1"/>
    <s v=""/>
    <n v="0"/>
    <n v="-1133.6699999999983"/>
  </r>
  <r>
    <s v="TSK-0370"/>
    <s v="PRJ-1010"/>
    <x v="9"/>
    <x v="2"/>
    <s v="Vendor Transition"/>
    <x v="3"/>
    <s v="Execution"/>
    <s v="Execution Task 13"/>
    <s v="Medium"/>
    <x v="0"/>
    <s v="Vertex Systems"/>
    <d v="2025-03-08T00:00:00"/>
    <d v="2025-03-23T00:00:00"/>
    <d v="2025-03-25T00:00:00"/>
    <x v="0"/>
    <n v="1"/>
    <n v="3600"/>
    <n v="4161.55"/>
    <n v="3"/>
    <n v="2"/>
    <n v="0"/>
    <n v="-561.55000000000018"/>
  </r>
  <r>
    <s v="TSK-0371"/>
    <s v="PRJ-1011"/>
    <x v="10"/>
    <x v="3"/>
    <s v="System Implementation"/>
    <x v="4"/>
    <s v="Testing"/>
    <s v="Testing Task 13"/>
    <s v="High"/>
    <x v="0"/>
    <s v="Vertex Systems"/>
    <d v="2026-04-03T00:00:00"/>
    <d v="2026-04-20T00:00:00"/>
    <m/>
    <x v="2"/>
    <n v="0.75"/>
    <n v="12500"/>
    <n v="12682.32"/>
    <n v="1"/>
    <s v=""/>
    <n v="0"/>
    <n v="-182.31999999999971"/>
  </r>
  <r>
    <s v="TSK-0372"/>
    <s v="PRJ-1012"/>
    <x v="11"/>
    <x v="4"/>
    <s v="Cost Reduction"/>
    <x v="5"/>
    <s v="Training"/>
    <s v="Training Task 13"/>
    <s v="High"/>
    <x v="0"/>
    <s v="Internal Team"/>
    <d v="2026-02-14T00:00:00"/>
    <d v="2026-03-10T00:00:00"/>
    <d v="2026-03-07T00:00:00"/>
    <x v="0"/>
    <n v="1"/>
    <n v="28600"/>
    <n v="28173.4"/>
    <n v="0"/>
    <n v="0"/>
    <n v="0"/>
    <n v="426.59999999999854"/>
  </r>
  <r>
    <s v="TSK-0373"/>
    <s v="PRJ-1013"/>
    <x v="12"/>
    <x v="5"/>
    <s v="Automation"/>
    <x v="0"/>
    <s v="Launch"/>
    <s v="Launch Task 13"/>
    <s v="High"/>
    <x v="0"/>
    <s v="Northstar Consulting"/>
    <d v="2025-12-23T00:00:00"/>
    <d v="2025-12-29T00:00:00"/>
    <d v="2025-12-21T00:00:00"/>
    <x v="0"/>
    <n v="1"/>
    <n v="35300"/>
    <n v="36081.589999999997"/>
    <n v="3"/>
    <n v="0"/>
    <n v="0"/>
    <n v="-781.58999999999651"/>
  </r>
  <r>
    <s v="TSK-0374"/>
    <s v="PRJ-1014"/>
    <x v="13"/>
    <x v="6"/>
    <s v="Process Improvement"/>
    <x v="1"/>
    <s v="Closeout"/>
    <s v="Closeout Task 13"/>
    <s v="Medium"/>
    <x v="0"/>
    <s v="Internal Team"/>
    <d v="2025-07-09T00:00:00"/>
    <d v="2025-07-27T00:00:00"/>
    <d v="2025-07-13T00:00:00"/>
    <x v="0"/>
    <n v="1"/>
    <n v="31400"/>
    <n v="29521.49"/>
    <n v="1"/>
    <n v="0"/>
    <n v="0"/>
    <n v="1878.5099999999984"/>
  </r>
  <r>
    <s v="TSK-0375"/>
    <s v="PRJ-1015"/>
    <x v="14"/>
    <x v="0"/>
    <s v="Facility Upgrade"/>
    <x v="2"/>
    <s v="Discovery"/>
    <s v="Discovery Task 13"/>
    <s v="Low"/>
    <x v="0"/>
    <s v="Internal Team"/>
    <d v="2026-03-30T00:00:00"/>
    <d v="2026-04-23T00:00:00"/>
    <d v="2026-05-07T00:00:00"/>
    <x v="0"/>
    <n v="1"/>
    <n v="4800"/>
    <n v="4609.2299999999996"/>
    <n v="1"/>
    <n v="14"/>
    <n v="0"/>
    <n v="190.77000000000044"/>
  </r>
  <r>
    <s v="TSK-0376"/>
    <s v="PRJ-1016"/>
    <x v="15"/>
    <x v="1"/>
    <s v="Compliance"/>
    <x v="3"/>
    <s v="Planning"/>
    <s v="Planning Task 13"/>
    <s v="High"/>
    <x v="0"/>
    <s v="BluePeak Services"/>
    <d v="2025-10-16T00:00:00"/>
    <d v="2025-11-02T00:00:00"/>
    <m/>
    <x v="3"/>
    <n v="0"/>
    <n v="36900"/>
    <n v="0"/>
    <n v="3"/>
    <s v=""/>
    <n v="0"/>
    <n v="36900"/>
  </r>
  <r>
    <s v="TSK-0377"/>
    <s v="PRJ-1017"/>
    <x v="16"/>
    <x v="2"/>
    <s v="Vendor Transition"/>
    <x v="4"/>
    <s v="Requirements"/>
    <s v="Requirements Task 13"/>
    <s v="Medium"/>
    <x v="2"/>
    <s v="Internal Team"/>
    <d v="2025-02-20T00:00:00"/>
    <d v="2025-02-26T00:00:00"/>
    <d v="2025-02-18T00:00:00"/>
    <x v="0"/>
    <n v="1"/>
    <n v="40200"/>
    <n v="43413.14"/>
    <n v="2"/>
    <n v="0"/>
    <n v="0"/>
    <n v="-3213.1399999999994"/>
  </r>
  <r>
    <s v="TSK-0378"/>
    <s v="PRJ-1018"/>
    <x v="17"/>
    <x v="3"/>
    <s v="System Implementation"/>
    <x v="5"/>
    <s v="Configuration"/>
    <s v="Configuration Task 13"/>
    <s v="High"/>
    <x v="0"/>
    <s v="BluePeak Services"/>
    <d v="2025-03-30T00:00:00"/>
    <d v="2025-04-25T00:00:00"/>
    <m/>
    <x v="3"/>
    <n v="0"/>
    <n v="37000"/>
    <n v="0"/>
    <n v="2"/>
    <s v=""/>
    <n v="0"/>
    <n v="37000"/>
  </r>
  <r>
    <s v="TSK-0379"/>
    <s v="PRJ-1019"/>
    <x v="18"/>
    <x v="4"/>
    <s v="Cost Reduction"/>
    <x v="0"/>
    <s v="Execution"/>
    <s v="Execution Task 13"/>
    <s v="Critical"/>
    <x v="0"/>
    <s v="Internal Team"/>
    <d v="2025-06-24T00:00:00"/>
    <d v="2025-07-22T00:00:00"/>
    <m/>
    <x v="2"/>
    <n v="0.9"/>
    <n v="8800"/>
    <n v="10024.82"/>
    <n v="3"/>
    <s v=""/>
    <n v="0"/>
    <n v="-1224.8199999999997"/>
  </r>
  <r>
    <s v="TSK-0380"/>
    <s v="PRJ-1020"/>
    <x v="19"/>
    <x v="5"/>
    <s v="Automation"/>
    <x v="1"/>
    <s v="Testing"/>
    <s v="Testing Task 13"/>
    <s v="Critical"/>
    <x v="2"/>
    <s v="Internal Team"/>
    <d v="2025-08-28T00:00:00"/>
    <d v="2025-09-25T00:00:00"/>
    <d v="2025-09-18T00:00:00"/>
    <x v="0"/>
    <n v="1"/>
    <n v="35400"/>
    <n v="38136.04"/>
    <n v="0"/>
    <n v="0"/>
    <n v="0"/>
    <n v="-2736.0400000000009"/>
  </r>
  <r>
    <s v="TSK-0381"/>
    <s v="PRJ-1021"/>
    <x v="20"/>
    <x v="6"/>
    <s v="Process Improvement"/>
    <x v="2"/>
    <s v="Training"/>
    <s v="Training Task 13"/>
    <s v="High"/>
    <x v="2"/>
    <s v="BluePeak Services"/>
    <d v="2025-09-05T00:00:00"/>
    <d v="2025-09-23T00:00:00"/>
    <m/>
    <x v="3"/>
    <n v="0"/>
    <n v="19400"/>
    <n v="0"/>
    <n v="3"/>
    <s v=""/>
    <n v="0"/>
    <n v="19400"/>
  </r>
  <r>
    <s v="TSK-0382"/>
    <s v="PRJ-1022"/>
    <x v="21"/>
    <x v="0"/>
    <s v="Facility Upgrade"/>
    <x v="3"/>
    <s v="Launch"/>
    <s v="Launch Task 13"/>
    <s v="Medium"/>
    <x v="2"/>
    <s v="Vertex Systems"/>
    <d v="2026-02-15T00:00:00"/>
    <d v="2026-03-13T00:00:00"/>
    <d v="2026-03-17T00:00:00"/>
    <x v="0"/>
    <n v="1"/>
    <n v="44000"/>
    <n v="42757.23"/>
    <n v="1"/>
    <n v="4"/>
    <n v="0"/>
    <n v="1242.7699999999968"/>
  </r>
  <r>
    <s v="TSK-0383"/>
    <s v="PRJ-1023"/>
    <x v="22"/>
    <x v="1"/>
    <s v="Compliance"/>
    <x v="4"/>
    <s v="Closeout"/>
    <s v="Closeout Task 13"/>
    <s v="Medium"/>
    <x v="2"/>
    <s v="Internal Team"/>
    <d v="2026-01-12T00:00:00"/>
    <d v="2026-01-30T00:00:00"/>
    <m/>
    <x v="2"/>
    <n v="0.85"/>
    <n v="29400"/>
    <n v="33586.76"/>
    <n v="4"/>
    <s v=""/>
    <n v="0"/>
    <n v="-4186.760000000002"/>
  </r>
  <r>
    <s v="TSK-0384"/>
    <s v="PRJ-1024"/>
    <x v="23"/>
    <x v="2"/>
    <s v="Vendor Transition"/>
    <x v="5"/>
    <s v="Discovery"/>
    <s v="Discovery Task 13"/>
    <s v="High"/>
    <x v="2"/>
    <s v="Internal Team"/>
    <d v="2025-02-28T00:00:00"/>
    <d v="2025-03-19T00:00:00"/>
    <d v="2025-03-29T00:00:00"/>
    <x v="0"/>
    <n v="1"/>
    <n v="4800"/>
    <n v="4041.5"/>
    <n v="1"/>
    <n v="10"/>
    <n v="0"/>
    <n v="758.5"/>
  </r>
  <r>
    <s v="TSK-0385"/>
    <s v="PRJ-1025"/>
    <x v="24"/>
    <x v="3"/>
    <s v="System Implementation"/>
    <x v="0"/>
    <s v="Planning"/>
    <s v="Planning Task 13"/>
    <s v="Critical"/>
    <x v="0"/>
    <s v="Internal Team"/>
    <d v="2026-01-24T00:00:00"/>
    <d v="2026-02-08T00:00:00"/>
    <d v="2026-02-10T00:00:00"/>
    <x v="0"/>
    <n v="1"/>
    <n v="4900"/>
    <n v="4337.59"/>
    <n v="2"/>
    <n v="2"/>
    <n v="0"/>
    <n v="562.40999999999985"/>
  </r>
  <r>
    <s v="TSK-0386"/>
    <s v="PRJ-1026"/>
    <x v="25"/>
    <x v="4"/>
    <s v="Cost Reduction"/>
    <x v="1"/>
    <s v="Requirements"/>
    <s v="Requirements Task 13"/>
    <s v="Low"/>
    <x v="0"/>
    <s v="Internal Team"/>
    <d v="2025-08-22T00:00:00"/>
    <d v="2025-09-17T00:00:00"/>
    <d v="2025-09-25T00:00:00"/>
    <x v="0"/>
    <n v="1"/>
    <n v="25700"/>
    <n v="27966.31"/>
    <n v="2"/>
    <n v="8"/>
    <n v="0"/>
    <n v="-2266.3100000000013"/>
  </r>
  <r>
    <s v="TSK-0387"/>
    <s v="PRJ-1027"/>
    <x v="26"/>
    <x v="5"/>
    <s v="Automation"/>
    <x v="2"/>
    <s v="Configuration"/>
    <s v="Configuration Task 13"/>
    <s v="High"/>
    <x v="2"/>
    <s v="Internal Team"/>
    <d v="2026-05-17T00:00:00"/>
    <d v="2026-06-06T00:00:00"/>
    <m/>
    <x v="2"/>
    <n v="0.85"/>
    <n v="21300"/>
    <n v="21727.09"/>
    <n v="0"/>
    <s v=""/>
    <n v="0"/>
    <n v="-427.09000000000015"/>
  </r>
  <r>
    <s v="TSK-0388"/>
    <s v="PRJ-1028"/>
    <x v="27"/>
    <x v="6"/>
    <s v="Process Improvement"/>
    <x v="3"/>
    <s v="Execution"/>
    <s v="Execution Task 13"/>
    <s v="High"/>
    <x v="2"/>
    <s v="Internal Team"/>
    <d v="2026-04-04T00:00:00"/>
    <d v="2026-04-29T00:00:00"/>
    <d v="2026-05-12T00:00:00"/>
    <x v="0"/>
    <n v="1"/>
    <n v="32600"/>
    <n v="37816.410000000003"/>
    <n v="3"/>
    <n v="13"/>
    <n v="0"/>
    <n v="-5216.4100000000035"/>
  </r>
  <r>
    <s v="TSK-0389"/>
    <s v="PRJ-1029"/>
    <x v="28"/>
    <x v="0"/>
    <s v="Facility Upgrade"/>
    <x v="4"/>
    <s v="Testing"/>
    <s v="Testing Task 13"/>
    <s v="Medium"/>
    <x v="0"/>
    <s v="Summit Partners"/>
    <d v="2026-03-15T00:00:00"/>
    <d v="2026-04-04T00:00:00"/>
    <d v="2026-04-05T00:00:00"/>
    <x v="0"/>
    <n v="1"/>
    <n v="8600"/>
    <n v="8495.42"/>
    <n v="3"/>
    <n v="1"/>
    <n v="0"/>
    <n v="104.57999999999993"/>
  </r>
  <r>
    <s v="TSK-0390"/>
    <s v="PRJ-1030"/>
    <x v="29"/>
    <x v="1"/>
    <s v="Compliance"/>
    <x v="5"/>
    <s v="Launch"/>
    <s v="Launch Task 13"/>
    <s v="High"/>
    <x v="0"/>
    <s v="Northstar Consulting"/>
    <d v="2025-11-29T00:00:00"/>
    <d v="2025-12-05T00:00:00"/>
    <d v="2025-12-16T00:00:00"/>
    <x v="0"/>
    <n v="1"/>
    <n v="18600"/>
    <n v="15533.13"/>
    <n v="2"/>
    <n v="11"/>
    <n v="0"/>
    <n v="3066.8700000000008"/>
  </r>
  <r>
    <s v="TSK-0391"/>
    <s v="PRJ-1001"/>
    <x v="0"/>
    <x v="0"/>
    <s v="Facility Upgrade"/>
    <x v="0"/>
    <s v="Closeout"/>
    <s v="Closeout Task 14"/>
    <s v="High"/>
    <x v="0"/>
    <s v="Internal Team"/>
    <d v="2026-04-28T00:00:00"/>
    <d v="2026-05-04T00:00:00"/>
    <d v="2026-04-26T00:00:00"/>
    <x v="0"/>
    <n v="1"/>
    <n v="43100"/>
    <n v="46088.5"/>
    <n v="2"/>
    <n v="0"/>
    <n v="0"/>
    <n v="-2988.5"/>
  </r>
  <r>
    <s v="TSK-0392"/>
    <s v="PRJ-1002"/>
    <x v="1"/>
    <x v="1"/>
    <s v="Compliance"/>
    <x v="1"/>
    <s v="Discovery"/>
    <s v="Discovery Task 14"/>
    <s v="Medium"/>
    <x v="0"/>
    <s v="BluePeak Services"/>
    <d v="2025-07-31T00:00:00"/>
    <d v="2025-08-18T00:00:00"/>
    <d v="2025-08-26T00:00:00"/>
    <x v="0"/>
    <n v="1"/>
    <n v="35500"/>
    <n v="41272.449999999997"/>
    <n v="0"/>
    <n v="8"/>
    <n v="0"/>
    <n v="-5772.4499999999971"/>
  </r>
  <r>
    <s v="TSK-0393"/>
    <s v="PRJ-1003"/>
    <x v="2"/>
    <x v="2"/>
    <s v="Vendor Transition"/>
    <x v="2"/>
    <s v="Planning"/>
    <s v="Planning Task 14"/>
    <s v="Medium"/>
    <x v="2"/>
    <s v="Internal Team"/>
    <d v="2025-04-10T00:00:00"/>
    <d v="2025-04-29T00:00:00"/>
    <d v="2025-04-23T00:00:00"/>
    <x v="0"/>
    <n v="1"/>
    <n v="31600"/>
    <n v="34561.82"/>
    <n v="2"/>
    <n v="0"/>
    <n v="0"/>
    <n v="-2961.8199999999997"/>
  </r>
  <r>
    <s v="TSK-0394"/>
    <s v="PRJ-1004"/>
    <x v="3"/>
    <x v="3"/>
    <s v="System Implementation"/>
    <x v="3"/>
    <s v="Requirements"/>
    <s v="Requirements Task 14"/>
    <s v="Medium"/>
    <x v="0"/>
    <s v="Summit Partners"/>
    <d v="2026-02-24T00:00:00"/>
    <d v="2026-03-12T00:00:00"/>
    <d v="2026-03-21T00:00:00"/>
    <x v="0"/>
    <n v="1"/>
    <n v="40100"/>
    <n v="32438.04"/>
    <n v="1"/>
    <n v="9"/>
    <n v="0"/>
    <n v="7661.9599999999991"/>
  </r>
  <r>
    <s v="TSK-0395"/>
    <s v="PRJ-1005"/>
    <x v="4"/>
    <x v="4"/>
    <s v="Cost Reduction"/>
    <x v="4"/>
    <s v="Configuration"/>
    <s v="Configuration Task 14"/>
    <s v="Medium"/>
    <x v="0"/>
    <s v="Vertex Systems"/>
    <d v="2025-10-14T00:00:00"/>
    <d v="2025-11-06T00:00:00"/>
    <m/>
    <x v="0"/>
    <n v="0.4"/>
    <n v="28700"/>
    <n v="28541.14"/>
    <n v="2"/>
    <s v=""/>
    <n v="0"/>
    <n v="158.86000000000058"/>
  </r>
  <r>
    <s v="TSK-0396"/>
    <s v="PRJ-1006"/>
    <x v="5"/>
    <x v="5"/>
    <s v="Automation"/>
    <x v="5"/>
    <s v="Execution"/>
    <s v="Execution Task 14"/>
    <s v="High"/>
    <x v="1"/>
    <s v="Northstar Consulting"/>
    <d v="2025-06-25T00:00:00"/>
    <d v="2025-07-14T00:00:00"/>
    <d v="2025-07-09T00:00:00"/>
    <x v="0"/>
    <n v="1"/>
    <n v="34600"/>
    <n v="32481.279999999999"/>
    <n v="1"/>
    <n v="0"/>
    <n v="0"/>
    <n v="2118.7200000000012"/>
  </r>
  <r>
    <s v="TSK-0397"/>
    <s v="PRJ-1007"/>
    <x v="6"/>
    <x v="6"/>
    <s v="Process Improvement"/>
    <x v="0"/>
    <s v="Testing"/>
    <s v="Testing Task 14"/>
    <s v="Critical"/>
    <x v="2"/>
    <s v="Vertex Systems"/>
    <d v="2025-09-13T00:00:00"/>
    <d v="2025-09-25T00:00:00"/>
    <d v="2025-09-23T00:00:00"/>
    <x v="0"/>
    <n v="1"/>
    <n v="19900"/>
    <n v="21333.34"/>
    <n v="2"/>
    <n v="0"/>
    <n v="0"/>
    <n v="-1433.3400000000001"/>
  </r>
  <r>
    <s v="TSK-0398"/>
    <s v="PRJ-1008"/>
    <x v="7"/>
    <x v="0"/>
    <s v="Facility Upgrade"/>
    <x v="1"/>
    <s v="Training"/>
    <s v="Training Task 14"/>
    <s v="Medium"/>
    <x v="0"/>
    <s v="Internal Team"/>
    <d v="2025-05-25T00:00:00"/>
    <d v="2025-06-21T00:00:00"/>
    <d v="2025-07-04T00:00:00"/>
    <x v="0"/>
    <n v="1"/>
    <n v="7900"/>
    <n v="7921.88"/>
    <n v="3"/>
    <n v="13"/>
    <n v="0"/>
    <n v="-21.880000000000109"/>
  </r>
  <r>
    <s v="TSK-0399"/>
    <s v="PRJ-1009"/>
    <x v="8"/>
    <x v="1"/>
    <s v="Compliance"/>
    <x v="2"/>
    <s v="Launch"/>
    <s v="Launch Task 14"/>
    <s v="Medium"/>
    <x v="2"/>
    <s v="Internal Team"/>
    <d v="2026-05-13T00:00:00"/>
    <d v="2026-05-19T00:00:00"/>
    <d v="2026-05-26T00:00:00"/>
    <x v="0"/>
    <n v="1"/>
    <n v="30900"/>
    <n v="29276.240000000002"/>
    <n v="1"/>
    <n v="7"/>
    <n v="0"/>
    <n v="1623.7599999999984"/>
  </r>
  <r>
    <s v="TSK-0400"/>
    <s v="PRJ-1010"/>
    <x v="9"/>
    <x v="2"/>
    <s v="Vendor Transition"/>
    <x v="3"/>
    <s v="Closeout"/>
    <s v="Closeout Task 14"/>
    <s v="High"/>
    <x v="0"/>
    <s v="Apex Solutions"/>
    <d v="2025-05-11T00:00:00"/>
    <d v="2025-06-05T00:00:00"/>
    <d v="2025-06-13T00:00:00"/>
    <x v="0"/>
    <n v="1"/>
    <n v="43100"/>
    <n v="41869.74"/>
    <n v="2"/>
    <n v="8"/>
    <n v="0"/>
    <n v="1230.260000000002"/>
  </r>
  <r>
    <s v="TSK-0401"/>
    <s v="PRJ-1011"/>
    <x v="10"/>
    <x v="3"/>
    <s v="System Implementation"/>
    <x v="4"/>
    <s v="Discovery"/>
    <s v="Discovery Task 14"/>
    <s v="Medium"/>
    <x v="0"/>
    <s v="Internal Team"/>
    <d v="2026-04-10T00:00:00"/>
    <d v="2026-05-09T00:00:00"/>
    <m/>
    <x v="2"/>
    <n v="0.85"/>
    <n v="32200"/>
    <n v="32379.86"/>
    <n v="0"/>
    <s v=""/>
    <n v="0"/>
    <n v="-179.86000000000058"/>
  </r>
  <r>
    <s v="TSK-0402"/>
    <s v="PRJ-1012"/>
    <x v="11"/>
    <x v="4"/>
    <s v="Cost Reduction"/>
    <x v="5"/>
    <s v="Planning"/>
    <s v="Planning Task 14"/>
    <s v="Medium"/>
    <x v="2"/>
    <s v="Vertex Systems"/>
    <d v="2026-03-10T00:00:00"/>
    <d v="2026-03-22T00:00:00"/>
    <m/>
    <x v="2"/>
    <n v="0.85"/>
    <n v="4700"/>
    <n v="4100.04"/>
    <n v="4"/>
    <s v=""/>
    <n v="0"/>
    <n v="599.96"/>
  </r>
  <r>
    <s v="TSK-0403"/>
    <s v="PRJ-1013"/>
    <x v="12"/>
    <x v="5"/>
    <s v="Automation"/>
    <x v="0"/>
    <s v="Requirements"/>
    <s v="Requirements Task 14"/>
    <s v="Low"/>
    <x v="0"/>
    <s v="Internal Team"/>
    <d v="2025-12-18T00:00:00"/>
    <d v="2025-12-25T00:00:00"/>
    <m/>
    <x v="3"/>
    <n v="0"/>
    <n v="38300"/>
    <n v="0"/>
    <n v="3"/>
    <s v=""/>
    <n v="0"/>
    <n v="38300"/>
  </r>
  <r>
    <s v="TSK-0404"/>
    <s v="PRJ-1014"/>
    <x v="13"/>
    <x v="6"/>
    <s v="Process Improvement"/>
    <x v="1"/>
    <s v="Configuration"/>
    <s v="Configuration Task 14"/>
    <s v="Critical"/>
    <x v="0"/>
    <s v="BluePeak Services"/>
    <d v="2025-03-04T00:00:00"/>
    <d v="2025-03-31T00:00:00"/>
    <d v="2025-04-02T00:00:00"/>
    <x v="0"/>
    <n v="1"/>
    <n v="28300"/>
    <n v="26965.14"/>
    <n v="0"/>
    <n v="2"/>
    <n v="0"/>
    <n v="1334.8600000000006"/>
  </r>
  <r>
    <s v="TSK-0405"/>
    <s v="PRJ-1015"/>
    <x v="14"/>
    <x v="0"/>
    <s v="Facility Upgrade"/>
    <x v="2"/>
    <s v="Execution"/>
    <s v="Execution Task 14"/>
    <s v="High"/>
    <x v="0"/>
    <s v="Vertex Systems"/>
    <d v="2026-01-24T00:00:00"/>
    <d v="2026-02-12T00:00:00"/>
    <m/>
    <x v="2"/>
    <n v="0.4"/>
    <n v="24100"/>
    <n v="24934.799999999999"/>
    <n v="0"/>
    <s v=""/>
    <n v="0"/>
    <n v="-834.79999999999927"/>
  </r>
  <r>
    <s v="TSK-0406"/>
    <s v="PRJ-1016"/>
    <x v="15"/>
    <x v="1"/>
    <s v="Compliance"/>
    <x v="3"/>
    <s v="Testing"/>
    <s v="Testing Task 14"/>
    <s v="Medium"/>
    <x v="0"/>
    <s v="Internal Team"/>
    <d v="2025-10-03T00:00:00"/>
    <d v="2025-10-27T00:00:00"/>
    <m/>
    <x v="2"/>
    <n v="0.5"/>
    <n v="14300"/>
    <n v="16663.55"/>
    <n v="1"/>
    <s v=""/>
    <n v="0"/>
    <n v="-2363.5499999999993"/>
  </r>
  <r>
    <s v="TSK-0407"/>
    <s v="PRJ-1017"/>
    <x v="16"/>
    <x v="2"/>
    <s v="Vendor Transition"/>
    <x v="4"/>
    <s v="Training"/>
    <s v="Training Task 14"/>
    <s v="Medium"/>
    <x v="2"/>
    <s v="Vertex Systems"/>
    <d v="2025-01-24T00:00:00"/>
    <d v="2025-01-30T00:00:00"/>
    <d v="2025-01-18T00:00:00"/>
    <x v="0"/>
    <n v="1"/>
    <n v="28200"/>
    <n v="31014.78"/>
    <n v="0"/>
    <n v="0"/>
    <n v="0"/>
    <n v="-2814.7799999999988"/>
  </r>
  <r>
    <s v="TSK-0408"/>
    <s v="PRJ-1018"/>
    <x v="17"/>
    <x v="3"/>
    <s v="System Implementation"/>
    <x v="5"/>
    <s v="Launch"/>
    <s v="Launch Task 14"/>
    <s v="High"/>
    <x v="0"/>
    <s v="BluePeak Services"/>
    <d v="2025-02-19T00:00:00"/>
    <d v="2025-03-06T00:00:00"/>
    <m/>
    <x v="2"/>
    <n v="0.85"/>
    <n v="13800"/>
    <n v="11430.76"/>
    <n v="3"/>
    <s v=""/>
    <n v="0"/>
    <n v="2369.2399999999998"/>
  </r>
  <r>
    <s v="TSK-0409"/>
    <s v="PRJ-1019"/>
    <x v="18"/>
    <x v="4"/>
    <s v="Cost Reduction"/>
    <x v="0"/>
    <s v="Closeout"/>
    <s v="Closeout Task 14"/>
    <s v="Medium"/>
    <x v="2"/>
    <s v="Internal Team"/>
    <d v="2025-03-05T00:00:00"/>
    <d v="2025-03-17T00:00:00"/>
    <d v="2025-03-12T00:00:00"/>
    <x v="0"/>
    <n v="1"/>
    <n v="9900"/>
    <n v="7458.18"/>
    <n v="1"/>
    <n v="0"/>
    <n v="0"/>
    <n v="2441.8199999999997"/>
  </r>
  <r>
    <s v="TSK-0410"/>
    <s v="PRJ-1020"/>
    <x v="19"/>
    <x v="5"/>
    <s v="Automation"/>
    <x v="1"/>
    <s v="Discovery"/>
    <s v="Discovery Task 14"/>
    <s v="Medium"/>
    <x v="1"/>
    <s v="Apex Solutions"/>
    <d v="2025-04-28T00:00:00"/>
    <d v="2025-05-21T00:00:00"/>
    <m/>
    <x v="3"/>
    <n v="0"/>
    <n v="30700"/>
    <n v="0"/>
    <n v="0"/>
    <s v=""/>
    <n v="0"/>
    <n v="30700"/>
  </r>
  <r>
    <s v="TSK-0411"/>
    <s v="PRJ-1021"/>
    <x v="20"/>
    <x v="6"/>
    <s v="Process Improvement"/>
    <x v="2"/>
    <s v="Planning"/>
    <s v="Planning Task 14"/>
    <s v="Medium"/>
    <x v="0"/>
    <s v="Apex Solutions"/>
    <d v="2025-08-24T00:00:00"/>
    <d v="2025-09-16T00:00:00"/>
    <d v="2025-09-28T00:00:00"/>
    <x v="0"/>
    <n v="1"/>
    <n v="2500"/>
    <n v="2733.26"/>
    <n v="1"/>
    <n v="12"/>
    <n v="0"/>
    <n v="-233.26000000000022"/>
  </r>
  <r>
    <s v="TSK-0412"/>
    <s v="PRJ-1022"/>
    <x v="21"/>
    <x v="0"/>
    <s v="Facility Upgrade"/>
    <x v="3"/>
    <s v="Requirements"/>
    <s v="Requirements Task 14"/>
    <s v="Low"/>
    <x v="0"/>
    <s v="Internal Team"/>
    <d v="2025-10-09T00:00:00"/>
    <d v="2025-10-30T00:00:00"/>
    <d v="2025-10-30T00:00:00"/>
    <x v="0"/>
    <n v="1"/>
    <n v="41100"/>
    <n v="37780.79"/>
    <n v="2"/>
    <n v="0"/>
    <n v="0"/>
    <n v="3319.2099999999991"/>
  </r>
  <r>
    <s v="TSK-0413"/>
    <s v="PRJ-1023"/>
    <x v="22"/>
    <x v="1"/>
    <s v="Compliance"/>
    <x v="4"/>
    <s v="Configuration"/>
    <s v="Configuration Task 14"/>
    <s v="Medium"/>
    <x v="0"/>
    <s v="Internal Team"/>
    <d v="2025-12-10T00:00:00"/>
    <d v="2025-12-30T00:00:00"/>
    <m/>
    <x v="3"/>
    <n v="0"/>
    <n v="32800"/>
    <n v="0"/>
    <n v="2"/>
    <s v=""/>
    <n v="0"/>
    <n v="32800"/>
  </r>
  <r>
    <s v="TSK-0414"/>
    <s v="PRJ-1024"/>
    <x v="23"/>
    <x v="2"/>
    <s v="Vendor Transition"/>
    <x v="5"/>
    <s v="Execution"/>
    <s v="Execution Task 14"/>
    <s v="Low"/>
    <x v="2"/>
    <s v="Internal Team"/>
    <d v="2025-05-27T00:00:00"/>
    <d v="2025-06-02T00:00:00"/>
    <m/>
    <x v="2"/>
    <n v="0.85"/>
    <n v="14600"/>
    <n v="17232.25"/>
    <n v="3"/>
    <s v=""/>
    <n v="0"/>
    <n v="-2632.25"/>
  </r>
  <r>
    <s v="TSK-0415"/>
    <s v="PRJ-1025"/>
    <x v="24"/>
    <x v="3"/>
    <s v="System Implementation"/>
    <x v="0"/>
    <s v="Testing"/>
    <s v="Testing Task 14"/>
    <s v="Medium"/>
    <x v="0"/>
    <s v="Northstar Consulting"/>
    <d v="2026-02-18T00:00:00"/>
    <d v="2026-02-26T00:00:00"/>
    <d v="2026-03-05T00:00:00"/>
    <x v="0"/>
    <n v="1"/>
    <n v="36200"/>
    <n v="39921.4"/>
    <n v="0"/>
    <n v="7"/>
    <n v="0"/>
    <n v="-3721.4000000000015"/>
  </r>
  <r>
    <s v="TSK-0416"/>
    <s v="PRJ-1026"/>
    <x v="25"/>
    <x v="4"/>
    <s v="Cost Reduction"/>
    <x v="1"/>
    <s v="Training"/>
    <s v="Training Task 14"/>
    <s v="Medium"/>
    <x v="2"/>
    <s v="BluePeak Services"/>
    <d v="2025-07-21T00:00:00"/>
    <d v="2025-07-24T00:00:00"/>
    <d v="2025-07-21T00:00:00"/>
    <x v="0"/>
    <n v="1"/>
    <n v="25600"/>
    <n v="26314.17"/>
    <n v="2"/>
    <n v="0"/>
    <n v="0"/>
    <n v="-714.16999999999825"/>
  </r>
  <r>
    <s v="TSK-0417"/>
    <s v="PRJ-1027"/>
    <x v="26"/>
    <x v="5"/>
    <s v="Automation"/>
    <x v="2"/>
    <s v="Launch"/>
    <s v="Launch Task 14"/>
    <s v="High"/>
    <x v="2"/>
    <s v="BluePeak Services"/>
    <d v="2026-03-26T00:00:00"/>
    <d v="2026-04-04T00:00:00"/>
    <d v="2026-04-11T00:00:00"/>
    <x v="0"/>
    <n v="1"/>
    <n v="19500"/>
    <n v="18768.36"/>
    <n v="1"/>
    <n v="7"/>
    <n v="0"/>
    <n v="731.63999999999942"/>
  </r>
  <r>
    <s v="TSK-0418"/>
    <s v="PRJ-1028"/>
    <x v="27"/>
    <x v="6"/>
    <s v="Process Improvement"/>
    <x v="3"/>
    <s v="Closeout"/>
    <s v="Closeout Task 14"/>
    <s v="Medium"/>
    <x v="0"/>
    <s v="Summit Partners"/>
    <d v="2026-01-22T00:00:00"/>
    <d v="2026-01-28T00:00:00"/>
    <m/>
    <x v="2"/>
    <n v="0.9"/>
    <n v="26200"/>
    <n v="23981.69"/>
    <n v="3"/>
    <s v=""/>
    <n v="0"/>
    <n v="2218.3100000000013"/>
  </r>
  <r>
    <s v="TSK-0419"/>
    <s v="PRJ-1029"/>
    <x v="28"/>
    <x v="0"/>
    <s v="Facility Upgrade"/>
    <x v="4"/>
    <s v="Discovery"/>
    <s v="Discovery Task 14"/>
    <s v="Critical"/>
    <x v="2"/>
    <s v="Northstar Consulting"/>
    <d v="2026-01-18T00:00:00"/>
    <d v="2026-01-30T00:00:00"/>
    <d v="2026-02-05T00:00:00"/>
    <x v="0"/>
    <n v="1"/>
    <n v="12400"/>
    <n v="13231.32"/>
    <n v="3"/>
    <n v="6"/>
    <n v="0"/>
    <n v="-831.31999999999971"/>
  </r>
  <r>
    <s v="TSK-0420"/>
    <s v="PRJ-1030"/>
    <x v="29"/>
    <x v="1"/>
    <s v="Compliance"/>
    <x v="5"/>
    <s v="Requirements"/>
    <s v="Requirements Task 14"/>
    <s v="Critical"/>
    <x v="0"/>
    <s v="Vertex Systems"/>
    <d v="2025-12-11T00:00:00"/>
    <d v="2025-12-17T00:00:00"/>
    <m/>
    <x v="2"/>
    <n v="0.25"/>
    <n v="40700"/>
    <n v="39489.449999999997"/>
    <n v="2"/>
    <s v=""/>
    <n v="0"/>
    <n v="1210.5500000000029"/>
  </r>
  <r>
    <s v="TSK-0421"/>
    <s v="PRJ-1001"/>
    <x v="0"/>
    <x v="0"/>
    <s v="Facility Upgrade"/>
    <x v="0"/>
    <s v="Configuration"/>
    <s v="Configuration Task 15"/>
    <s v="High"/>
    <x v="0"/>
    <s v="Northstar Consulting"/>
    <d v="2026-04-22T00:00:00"/>
    <d v="2026-05-13T00:00:00"/>
    <m/>
    <x v="0"/>
    <n v="0.5"/>
    <n v="43200"/>
    <n v="46079.31"/>
    <n v="2"/>
    <s v=""/>
    <n v="0"/>
    <n v="-2879.3099999999977"/>
  </r>
  <r>
    <s v="TSK-0422"/>
    <s v="PRJ-1002"/>
    <x v="1"/>
    <x v="1"/>
    <s v="Compliance"/>
    <x v="1"/>
    <s v="Execution"/>
    <s v="Execution Task 15"/>
    <s v="High"/>
    <x v="2"/>
    <s v="Northstar Consulting"/>
    <d v="2025-05-13T00:00:00"/>
    <d v="2025-06-11T00:00:00"/>
    <m/>
    <x v="0"/>
    <n v="0.85"/>
    <n v="33400"/>
    <n v="37016.39"/>
    <n v="1"/>
    <s v=""/>
    <n v="0"/>
    <n v="-3616.3899999999994"/>
  </r>
  <r>
    <s v="TSK-0423"/>
    <s v="PRJ-1003"/>
    <x v="2"/>
    <x v="2"/>
    <s v="Vendor Transition"/>
    <x v="2"/>
    <s v="Testing"/>
    <s v="Testing Task 15"/>
    <s v="Medium"/>
    <x v="0"/>
    <s v="Apex Solutions"/>
    <d v="2025-03-03T00:00:00"/>
    <d v="2025-03-26T00:00:00"/>
    <d v="2025-04-05T00:00:00"/>
    <x v="0"/>
    <n v="1"/>
    <n v="7600"/>
    <n v="6365.63"/>
    <n v="0"/>
    <n v="10"/>
    <n v="0"/>
    <n v="1234.3699999999999"/>
  </r>
  <r>
    <s v="TSK-0424"/>
    <s v="PRJ-1004"/>
    <x v="3"/>
    <x v="3"/>
    <s v="System Implementation"/>
    <x v="3"/>
    <s v="Training"/>
    <s v="Training Task 15"/>
    <s v="High"/>
    <x v="0"/>
    <s v="Internal Team"/>
    <d v="2026-01-24T00:00:00"/>
    <d v="2026-02-23T00:00:00"/>
    <d v="2026-02-24T00:00:00"/>
    <x v="0"/>
    <n v="1"/>
    <n v="2900"/>
    <n v="2674.96"/>
    <n v="1"/>
    <n v="1"/>
    <n v="0"/>
    <n v="225.03999999999996"/>
  </r>
  <r>
    <s v="TSK-0425"/>
    <s v="PRJ-1005"/>
    <x v="4"/>
    <x v="4"/>
    <s v="Cost Reduction"/>
    <x v="4"/>
    <s v="Launch"/>
    <s v="Launch Task 15"/>
    <s v="High"/>
    <x v="1"/>
    <s v="Apex Solutions"/>
    <d v="2025-10-12T00:00:00"/>
    <d v="2025-11-01T00:00:00"/>
    <d v="2025-11-04T00:00:00"/>
    <x v="0"/>
    <n v="1"/>
    <n v="11200"/>
    <n v="10822.91"/>
    <n v="3"/>
    <n v="3"/>
    <n v="0"/>
    <n v="377.09000000000015"/>
  </r>
  <r>
    <s v="TSK-0426"/>
    <s v="PRJ-1006"/>
    <x v="5"/>
    <x v="5"/>
    <s v="Automation"/>
    <x v="5"/>
    <s v="Closeout"/>
    <s v="Closeout Task 15"/>
    <s v="Medium"/>
    <x v="0"/>
    <s v="Apex Solutions"/>
    <d v="2025-08-20T00:00:00"/>
    <d v="2025-09-03T00:00:00"/>
    <d v="2025-08-25T00:00:00"/>
    <x v="0"/>
    <n v="1"/>
    <n v="30300"/>
    <n v="34394.699999999997"/>
    <n v="0"/>
    <n v="0"/>
    <n v="0"/>
    <n v="-4094.6999999999971"/>
  </r>
  <r>
    <s v="TSK-0427"/>
    <s v="PRJ-1007"/>
    <x v="6"/>
    <x v="6"/>
    <s v="Process Improvement"/>
    <x v="0"/>
    <s v="Discovery"/>
    <s v="Discovery Task 15"/>
    <s v="High"/>
    <x v="0"/>
    <s v="Apex Solutions"/>
    <d v="2025-08-22T00:00:00"/>
    <d v="2025-08-30T00:00:00"/>
    <m/>
    <x v="0"/>
    <n v="0"/>
    <n v="42800"/>
    <n v="0"/>
    <n v="0"/>
    <s v=""/>
    <n v="0"/>
    <n v="42800"/>
  </r>
  <r>
    <s v="TSK-0428"/>
    <s v="PRJ-1008"/>
    <x v="7"/>
    <x v="0"/>
    <s v="Facility Upgrade"/>
    <x v="1"/>
    <s v="Planning"/>
    <s v="Planning Task 15"/>
    <s v="High"/>
    <x v="0"/>
    <s v="Internal Team"/>
    <d v="2025-05-13T00:00:00"/>
    <d v="2025-06-09T00:00:00"/>
    <d v="2025-06-17T00:00:00"/>
    <x v="0"/>
    <n v="1"/>
    <n v="3400"/>
    <n v="3606.2"/>
    <n v="2"/>
    <n v="8"/>
    <n v="0"/>
    <n v="-206.19999999999982"/>
  </r>
  <r>
    <s v="TSK-0429"/>
    <s v="PRJ-1009"/>
    <x v="8"/>
    <x v="1"/>
    <s v="Compliance"/>
    <x v="2"/>
    <s v="Requirements"/>
    <s v="Requirements Task 15"/>
    <s v="Medium"/>
    <x v="0"/>
    <s v="Apex Solutions"/>
    <d v="2026-01-29T00:00:00"/>
    <d v="2026-02-02T00:00:00"/>
    <m/>
    <x v="2"/>
    <n v="0.3"/>
    <n v="6000"/>
    <n v="7508.04"/>
    <n v="3"/>
    <s v=""/>
    <n v="0"/>
    <n v="-1508.04"/>
  </r>
  <r>
    <s v="TSK-0430"/>
    <s v="PRJ-1010"/>
    <x v="9"/>
    <x v="2"/>
    <s v="Vendor Transition"/>
    <x v="3"/>
    <s v="Configuration"/>
    <s v="Configuration Task 15"/>
    <s v="Medium"/>
    <x v="2"/>
    <s v="Northstar Consulting"/>
    <d v="2025-07-22T00:00:00"/>
    <d v="2025-07-30T00:00:00"/>
    <m/>
    <x v="2"/>
    <n v="0.6"/>
    <n v="17400"/>
    <n v="17213.73"/>
    <n v="0"/>
    <s v=""/>
    <n v="0"/>
    <n v="186.27000000000044"/>
  </r>
  <r>
    <s v="TSK-0431"/>
    <s v="PRJ-1011"/>
    <x v="10"/>
    <x v="3"/>
    <s v="System Implementation"/>
    <x v="4"/>
    <s v="Execution"/>
    <s v="Execution Task 15"/>
    <s v="Medium"/>
    <x v="0"/>
    <s v="BluePeak Services"/>
    <d v="2026-04-29T00:00:00"/>
    <d v="2026-05-14T00:00:00"/>
    <m/>
    <x v="2"/>
    <n v="0.9"/>
    <n v="16500"/>
    <n v="13998.5"/>
    <n v="2"/>
    <s v=""/>
    <n v="0"/>
    <n v="2501.5"/>
  </r>
  <r>
    <s v="TSK-0432"/>
    <s v="PRJ-1012"/>
    <x v="11"/>
    <x v="4"/>
    <s v="Cost Reduction"/>
    <x v="5"/>
    <s v="Testing"/>
    <s v="Testing Task 15"/>
    <s v="Low"/>
    <x v="1"/>
    <s v="Internal Team"/>
    <d v="2026-03-19T00:00:00"/>
    <d v="2026-03-24T00:00:00"/>
    <d v="2026-03-12T00:00:00"/>
    <x v="0"/>
    <n v="1"/>
    <n v="13700"/>
    <n v="15176.26"/>
    <n v="4"/>
    <n v="0"/>
    <n v="0"/>
    <n v="-1476.2600000000002"/>
  </r>
  <r>
    <s v="TSK-0433"/>
    <s v="PRJ-1013"/>
    <x v="12"/>
    <x v="5"/>
    <s v="Automation"/>
    <x v="0"/>
    <s v="Training"/>
    <s v="Training Task 15"/>
    <s v="High"/>
    <x v="2"/>
    <s v="Northstar Consulting"/>
    <d v="2026-01-26T00:00:00"/>
    <d v="2026-02-23T00:00:00"/>
    <m/>
    <x v="2"/>
    <n v="0.25"/>
    <n v="22400"/>
    <n v="21167.97"/>
    <n v="2"/>
    <s v=""/>
    <n v="0"/>
    <n v="1232.0299999999988"/>
  </r>
  <r>
    <s v="TSK-0434"/>
    <s v="PRJ-1014"/>
    <x v="13"/>
    <x v="6"/>
    <s v="Process Improvement"/>
    <x v="1"/>
    <s v="Launch"/>
    <s v="Launch Task 15"/>
    <s v="Medium"/>
    <x v="2"/>
    <s v="Internal Team"/>
    <d v="2025-03-02T00:00:00"/>
    <d v="2025-03-09T00:00:00"/>
    <d v="2025-03-16T00:00:00"/>
    <x v="0"/>
    <n v="1"/>
    <n v="3200"/>
    <n v="3684.71"/>
    <n v="1"/>
    <n v="7"/>
    <n v="0"/>
    <n v="-484.71000000000004"/>
  </r>
  <r>
    <s v="TSK-0435"/>
    <s v="PRJ-1015"/>
    <x v="14"/>
    <x v="0"/>
    <s v="Facility Upgrade"/>
    <x v="2"/>
    <s v="Closeout"/>
    <s v="Closeout Task 15"/>
    <s v="Medium"/>
    <x v="0"/>
    <s v="BluePeak Services"/>
    <d v="2026-03-28T00:00:00"/>
    <d v="2026-04-20T00:00:00"/>
    <m/>
    <x v="3"/>
    <n v="0"/>
    <n v="32800"/>
    <n v="0"/>
    <n v="1"/>
    <s v=""/>
    <n v="0"/>
    <n v="32800"/>
  </r>
  <r>
    <s v="TSK-0436"/>
    <s v="PRJ-1016"/>
    <x v="15"/>
    <x v="1"/>
    <s v="Compliance"/>
    <x v="3"/>
    <s v="Discovery"/>
    <s v="Discovery Task 15"/>
    <s v="Low"/>
    <x v="0"/>
    <s v="BluePeak Services"/>
    <d v="2025-12-11T00:00:00"/>
    <d v="2025-12-19T00:00:00"/>
    <m/>
    <x v="2"/>
    <n v="0.6"/>
    <n v="27600"/>
    <n v="26044.63"/>
    <n v="2"/>
    <s v=""/>
    <n v="0"/>
    <n v="1555.369999999999"/>
  </r>
  <r>
    <s v="TSK-0437"/>
    <s v="PRJ-1017"/>
    <x v="16"/>
    <x v="2"/>
    <s v="Vendor Transition"/>
    <x v="4"/>
    <s v="Planning"/>
    <s v="Planning Task 15"/>
    <s v="Medium"/>
    <x v="2"/>
    <s v="Internal Team"/>
    <d v="2025-04-19T00:00:00"/>
    <d v="2025-05-06T00:00:00"/>
    <d v="2025-04-26T00:00:00"/>
    <x v="0"/>
    <n v="1"/>
    <n v="4500"/>
    <n v="4399.87"/>
    <n v="2"/>
    <n v="0"/>
    <n v="0"/>
    <n v="100.13000000000011"/>
  </r>
  <r>
    <s v="TSK-0438"/>
    <s v="PRJ-1018"/>
    <x v="17"/>
    <x v="3"/>
    <s v="System Implementation"/>
    <x v="5"/>
    <s v="Requirements"/>
    <s v="Requirements Task 15"/>
    <s v="Low"/>
    <x v="2"/>
    <s v="BluePeak Services"/>
    <d v="2025-05-08T00:00:00"/>
    <d v="2025-06-06T00:00:00"/>
    <m/>
    <x v="3"/>
    <n v="0"/>
    <n v="5700"/>
    <n v="0"/>
    <n v="2"/>
    <s v=""/>
    <n v="0"/>
    <n v="5700"/>
  </r>
  <r>
    <s v="TSK-0439"/>
    <s v="PRJ-1019"/>
    <x v="18"/>
    <x v="4"/>
    <s v="Cost Reduction"/>
    <x v="0"/>
    <s v="Configuration"/>
    <s v="Configuration Task 15"/>
    <s v="Low"/>
    <x v="2"/>
    <s v="Apex Solutions"/>
    <d v="2025-03-24T00:00:00"/>
    <d v="2025-03-29T00:00:00"/>
    <d v="2025-04-07T00:00:00"/>
    <x v="0"/>
    <n v="1"/>
    <n v="37500"/>
    <n v="42347.92"/>
    <n v="3"/>
    <n v="9"/>
    <n v="0"/>
    <n v="-4847.9199999999983"/>
  </r>
  <r>
    <s v="TSK-0440"/>
    <s v="PRJ-1020"/>
    <x v="19"/>
    <x v="5"/>
    <s v="Automation"/>
    <x v="1"/>
    <s v="Execution"/>
    <s v="Execution Task 15"/>
    <s v="High"/>
    <x v="2"/>
    <s v="Internal Team"/>
    <d v="2025-05-08T00:00:00"/>
    <d v="2025-06-02T00:00:00"/>
    <d v="2025-05-28T00:00:00"/>
    <x v="0"/>
    <n v="1"/>
    <n v="11500"/>
    <n v="12450.78"/>
    <n v="0"/>
    <n v="0"/>
    <n v="0"/>
    <n v="-950.78000000000065"/>
  </r>
  <r>
    <s v="TSK-0441"/>
    <s v="PRJ-1021"/>
    <x v="20"/>
    <x v="6"/>
    <s v="Process Improvement"/>
    <x v="2"/>
    <s v="Testing"/>
    <s v="Testing Task 15"/>
    <s v="Medium"/>
    <x v="2"/>
    <s v="Vertex Systems"/>
    <d v="2025-09-29T00:00:00"/>
    <d v="2025-10-05T00:00:00"/>
    <m/>
    <x v="2"/>
    <n v="0.5"/>
    <n v="22300"/>
    <n v="23278.47"/>
    <n v="4"/>
    <s v=""/>
    <n v="0"/>
    <n v="-978.47000000000116"/>
  </r>
  <r>
    <s v="TSK-0442"/>
    <s v="PRJ-1022"/>
    <x v="21"/>
    <x v="0"/>
    <s v="Facility Upgrade"/>
    <x v="3"/>
    <s v="Training"/>
    <s v="Training Task 15"/>
    <s v="Medium"/>
    <x v="1"/>
    <s v="Internal Team"/>
    <d v="2025-11-08T00:00:00"/>
    <d v="2025-11-11T00:00:00"/>
    <d v="2025-11-15T00:00:00"/>
    <x v="0"/>
    <n v="1"/>
    <n v="6600"/>
    <n v="6137.46"/>
    <n v="5"/>
    <n v="4"/>
    <n v="0"/>
    <n v="462.53999999999996"/>
  </r>
  <r>
    <s v="TSK-0443"/>
    <s v="PRJ-1023"/>
    <x v="22"/>
    <x v="1"/>
    <s v="Compliance"/>
    <x v="4"/>
    <s v="Launch"/>
    <s v="Launch Task 15"/>
    <s v="High"/>
    <x v="0"/>
    <s v="Internal Team"/>
    <d v="2025-12-19T00:00:00"/>
    <d v="2026-01-04T00:00:00"/>
    <d v="2026-01-06T00:00:00"/>
    <x v="0"/>
    <n v="1"/>
    <n v="12500"/>
    <n v="13634.43"/>
    <n v="0"/>
    <n v="2"/>
    <n v="0"/>
    <n v="-1134.4300000000003"/>
  </r>
  <r>
    <s v="TSK-0444"/>
    <s v="PRJ-1024"/>
    <x v="23"/>
    <x v="2"/>
    <s v="Vendor Transition"/>
    <x v="5"/>
    <s v="Closeout"/>
    <s v="Closeout Task 15"/>
    <s v="Medium"/>
    <x v="0"/>
    <s v="Vertex Systems"/>
    <d v="2025-03-12T00:00:00"/>
    <d v="2025-03-28T00:00:00"/>
    <d v="2025-03-26T00:00:00"/>
    <x v="0"/>
    <n v="1"/>
    <n v="25800"/>
    <n v="25685.84"/>
    <n v="0"/>
    <n v="0"/>
    <n v="0"/>
    <n v="114.15999999999985"/>
  </r>
  <r>
    <s v="TSK-0445"/>
    <s v="PRJ-1025"/>
    <x v="24"/>
    <x v="3"/>
    <s v="System Implementation"/>
    <x v="0"/>
    <s v="Discovery"/>
    <s v="Discovery Task 15"/>
    <s v="High"/>
    <x v="2"/>
    <s v="Internal Team"/>
    <d v="2025-11-24T00:00:00"/>
    <d v="2025-12-24T00:00:00"/>
    <d v="2025-12-28T00:00:00"/>
    <x v="0"/>
    <n v="1"/>
    <n v="6700"/>
    <n v="6997.33"/>
    <n v="4"/>
    <n v="4"/>
    <n v="0"/>
    <n v="-297.32999999999993"/>
  </r>
  <r>
    <s v="TSK-0446"/>
    <s v="PRJ-1026"/>
    <x v="25"/>
    <x v="4"/>
    <s v="Cost Reduction"/>
    <x v="1"/>
    <s v="Planning"/>
    <s v="Planning Task 15"/>
    <s v="Critical"/>
    <x v="0"/>
    <s v="Apex Solutions"/>
    <d v="2025-07-12T00:00:00"/>
    <d v="2025-08-09T00:00:00"/>
    <d v="2025-08-07T00:00:00"/>
    <x v="0"/>
    <n v="1"/>
    <n v="8500"/>
    <n v="7285.67"/>
    <n v="1"/>
    <n v="0"/>
    <n v="0"/>
    <n v="1214.33"/>
  </r>
  <r>
    <s v="TSK-0447"/>
    <s v="PRJ-1027"/>
    <x v="26"/>
    <x v="5"/>
    <s v="Automation"/>
    <x v="2"/>
    <s v="Requirements"/>
    <s v="Requirements Task 15"/>
    <s v="Low"/>
    <x v="0"/>
    <s v="BluePeak Services"/>
    <d v="2026-04-28T00:00:00"/>
    <d v="2026-05-03T00:00:00"/>
    <m/>
    <x v="3"/>
    <n v="0"/>
    <n v="11100"/>
    <n v="0"/>
    <n v="2"/>
    <s v=""/>
    <n v="0"/>
    <n v="11100"/>
  </r>
  <r>
    <s v="TSK-0448"/>
    <s v="PRJ-1028"/>
    <x v="27"/>
    <x v="6"/>
    <s v="Process Improvement"/>
    <x v="3"/>
    <s v="Configuration"/>
    <s v="Configuration Task 15"/>
    <s v="Medium"/>
    <x v="1"/>
    <s v="Northstar Consulting"/>
    <d v="2026-04-16T00:00:00"/>
    <d v="2026-04-28T00:00:00"/>
    <d v="2026-05-01T00:00:00"/>
    <x v="0"/>
    <n v="1"/>
    <n v="27500"/>
    <n v="34706.300000000003"/>
    <n v="2"/>
    <n v="3"/>
    <n v="0"/>
    <n v="-7206.3000000000029"/>
  </r>
  <r>
    <s v="TSK-0449"/>
    <s v="PRJ-1029"/>
    <x v="28"/>
    <x v="0"/>
    <s v="Facility Upgrade"/>
    <x v="4"/>
    <s v="Execution"/>
    <s v="Execution Task 15"/>
    <s v="High"/>
    <x v="0"/>
    <s v="Internal Team"/>
    <d v="2026-05-12T00:00:00"/>
    <d v="2026-05-24T00:00:00"/>
    <m/>
    <x v="2"/>
    <n v="0.9"/>
    <n v="27600"/>
    <n v="25958.74"/>
    <n v="1"/>
    <s v=""/>
    <n v="0"/>
    <n v="1641.2599999999984"/>
  </r>
  <r>
    <s v="TSK-0450"/>
    <s v="PRJ-1030"/>
    <x v="29"/>
    <x v="1"/>
    <s v="Compliance"/>
    <x v="5"/>
    <s v="Training"/>
    <s v="Training Task 15"/>
    <s v="Medium"/>
    <x v="0"/>
    <s v="Internal Team"/>
    <d v="2025-10-12T00:00:00"/>
    <d v="2025-10-20T00:00:00"/>
    <m/>
    <x v="3"/>
    <n v="0"/>
    <n v="13500"/>
    <n v="0"/>
    <n v="2"/>
    <s v=""/>
    <n v="0"/>
    <n v="13500"/>
  </r>
  <r>
    <s v="TSK-0451"/>
    <s v="PRJ-1001"/>
    <x v="0"/>
    <x v="0"/>
    <s v="Facility Upgrade"/>
    <x v="0"/>
    <s v="Launch"/>
    <s v="Launch Task 16"/>
    <s v="Medium"/>
    <x v="0"/>
    <s v="Internal Team"/>
    <d v="2025-12-16T00:00:00"/>
    <d v="2025-12-21T00:00:00"/>
    <d v="2025-12-22T00:00:00"/>
    <x v="0"/>
    <n v="1"/>
    <n v="26900"/>
    <n v="23693.5"/>
    <n v="0"/>
    <n v="1"/>
    <n v="0"/>
    <n v="3206.5"/>
  </r>
  <r>
    <s v="TSK-0452"/>
    <s v="PRJ-1002"/>
    <x v="1"/>
    <x v="1"/>
    <s v="Compliance"/>
    <x v="1"/>
    <s v="Closeout"/>
    <s v="Closeout Task 16"/>
    <s v="Medium"/>
    <x v="1"/>
    <s v="Apex Solutions"/>
    <d v="2025-06-15T00:00:00"/>
    <d v="2025-07-06T00:00:00"/>
    <m/>
    <x v="0"/>
    <n v="0"/>
    <n v="9100"/>
    <n v="0"/>
    <n v="1"/>
    <s v=""/>
    <n v="0"/>
    <n v="9100"/>
  </r>
  <r>
    <s v="TSK-0453"/>
    <s v="PRJ-1003"/>
    <x v="2"/>
    <x v="2"/>
    <s v="Vendor Transition"/>
    <x v="2"/>
    <s v="Discovery"/>
    <s v="Discovery Task 16"/>
    <s v="Medium"/>
    <x v="0"/>
    <s v="Internal Team"/>
    <d v="2025-05-29T00:00:00"/>
    <d v="2025-06-09T00:00:00"/>
    <d v="2025-06-11T00:00:00"/>
    <x v="0"/>
    <n v="1"/>
    <n v="36900"/>
    <n v="32068.91"/>
    <n v="0"/>
    <n v="2"/>
    <n v="0"/>
    <n v="4831.09"/>
  </r>
  <r>
    <s v="TSK-0454"/>
    <s v="PRJ-1004"/>
    <x v="3"/>
    <x v="3"/>
    <s v="System Implementation"/>
    <x v="3"/>
    <s v="Planning"/>
    <s v="Planning Task 16"/>
    <s v="Critical"/>
    <x v="2"/>
    <s v="Vertex Systems"/>
    <d v="2026-04-16T00:00:00"/>
    <d v="2026-05-13T00:00:00"/>
    <m/>
    <x v="0"/>
    <n v="0.6"/>
    <n v="40500"/>
    <n v="44616.75"/>
    <n v="1"/>
    <s v=""/>
    <n v="0"/>
    <n v="-4116.75"/>
  </r>
  <r>
    <s v="TSK-0455"/>
    <s v="PRJ-1005"/>
    <x v="4"/>
    <x v="4"/>
    <s v="Cost Reduction"/>
    <x v="4"/>
    <s v="Requirements"/>
    <s v="Requirements Task 16"/>
    <s v="Medium"/>
    <x v="0"/>
    <s v="Vertex Systems"/>
    <d v="2025-07-21T00:00:00"/>
    <d v="2025-08-14T00:00:00"/>
    <d v="2025-08-18T00:00:00"/>
    <x v="0"/>
    <n v="1"/>
    <n v="16900"/>
    <n v="15415.31"/>
    <n v="0"/>
    <n v="4"/>
    <n v="0"/>
    <n v="1484.6900000000005"/>
  </r>
  <r>
    <s v="TSK-0456"/>
    <s v="PRJ-1006"/>
    <x v="5"/>
    <x v="5"/>
    <s v="Automation"/>
    <x v="5"/>
    <s v="Configuration"/>
    <s v="Configuration Task 16"/>
    <s v="Medium"/>
    <x v="0"/>
    <s v="Internal Team"/>
    <d v="2025-08-06T00:00:00"/>
    <d v="2025-08-11T00:00:00"/>
    <d v="2025-08-11T00:00:00"/>
    <x v="0"/>
    <n v="1"/>
    <n v="9300"/>
    <n v="9205.34"/>
    <n v="2"/>
    <n v="0"/>
    <n v="0"/>
    <n v="94.659999999999854"/>
  </r>
  <r>
    <s v="TSK-0457"/>
    <s v="PRJ-1007"/>
    <x v="6"/>
    <x v="6"/>
    <s v="Process Improvement"/>
    <x v="0"/>
    <s v="Execution"/>
    <s v="Execution Task 16"/>
    <s v="High"/>
    <x v="0"/>
    <s v="Vertex Systems"/>
    <d v="2025-06-17T00:00:00"/>
    <d v="2025-07-05T00:00:00"/>
    <d v="2025-07-07T00:00:00"/>
    <x v="0"/>
    <n v="1"/>
    <n v="13000"/>
    <n v="14319.83"/>
    <n v="2"/>
    <n v="2"/>
    <n v="0"/>
    <n v="-1319.83"/>
  </r>
  <r>
    <s v="TSK-0458"/>
    <s v="PRJ-1008"/>
    <x v="7"/>
    <x v="0"/>
    <s v="Facility Upgrade"/>
    <x v="1"/>
    <s v="Testing"/>
    <s v="Testing Task 16"/>
    <s v="High"/>
    <x v="0"/>
    <s v="Vertex Systems"/>
    <d v="2025-04-17T00:00:00"/>
    <d v="2025-04-22T00:00:00"/>
    <d v="2025-05-07T00:00:00"/>
    <x v="0"/>
    <n v="1"/>
    <n v="30400"/>
    <n v="26716.240000000002"/>
    <n v="0"/>
    <n v="15"/>
    <n v="0"/>
    <n v="3683.7599999999984"/>
  </r>
  <r>
    <s v="TSK-0459"/>
    <s v="PRJ-1009"/>
    <x v="8"/>
    <x v="1"/>
    <s v="Compliance"/>
    <x v="2"/>
    <s v="Training"/>
    <s v="Training Task 16"/>
    <s v="Medium"/>
    <x v="0"/>
    <s v="Apex Solutions"/>
    <d v="2026-04-08T00:00:00"/>
    <d v="2026-04-26T00:00:00"/>
    <d v="2026-05-05T00:00:00"/>
    <x v="0"/>
    <n v="1"/>
    <n v="13500"/>
    <n v="12449.85"/>
    <n v="2"/>
    <n v="9"/>
    <n v="0"/>
    <n v="1050.1499999999996"/>
  </r>
  <r>
    <s v="TSK-0460"/>
    <s v="PRJ-1010"/>
    <x v="9"/>
    <x v="2"/>
    <s v="Vendor Transition"/>
    <x v="3"/>
    <s v="Launch"/>
    <s v="Launch Task 16"/>
    <s v="Medium"/>
    <x v="0"/>
    <s v="Vertex Systems"/>
    <d v="2025-03-31T00:00:00"/>
    <d v="2025-04-04T00:00:00"/>
    <d v="2025-04-17T00:00:00"/>
    <x v="0"/>
    <n v="1"/>
    <n v="19900"/>
    <n v="20821.25"/>
    <n v="1"/>
    <n v="13"/>
    <n v="0"/>
    <n v="-921.25"/>
  </r>
  <r>
    <s v="TSK-0461"/>
    <s v="PRJ-1011"/>
    <x v="10"/>
    <x v="3"/>
    <s v="System Implementation"/>
    <x v="4"/>
    <s v="Closeout"/>
    <s v="Closeout Task 16"/>
    <s v="Medium"/>
    <x v="1"/>
    <s v="Vertex Systems"/>
    <d v="2026-04-14T00:00:00"/>
    <d v="2026-04-20T00:00:00"/>
    <d v="2026-04-12T00:00:00"/>
    <x v="0"/>
    <n v="1"/>
    <n v="2000"/>
    <n v="2223.5"/>
    <n v="3"/>
    <n v="0"/>
    <n v="0"/>
    <n v="-223.5"/>
  </r>
  <r>
    <s v="TSK-0462"/>
    <s v="PRJ-1012"/>
    <x v="11"/>
    <x v="4"/>
    <s v="Cost Reduction"/>
    <x v="5"/>
    <s v="Discovery"/>
    <s v="Discovery Task 16"/>
    <s v="Medium"/>
    <x v="2"/>
    <s v="Internal Team"/>
    <d v="2026-06-09T00:00:00"/>
    <d v="2026-06-20T00:00:00"/>
    <m/>
    <x v="2"/>
    <n v="0.6"/>
    <n v="43200"/>
    <n v="50142.35"/>
    <n v="1"/>
    <s v=""/>
    <n v="0"/>
    <n v="-6942.3499999999985"/>
  </r>
  <r>
    <s v="TSK-0463"/>
    <s v="PRJ-1013"/>
    <x v="12"/>
    <x v="5"/>
    <s v="Automation"/>
    <x v="0"/>
    <s v="Planning"/>
    <s v="Planning Task 16"/>
    <s v="Medium"/>
    <x v="0"/>
    <s v="Vertex Systems"/>
    <d v="2026-01-13T00:00:00"/>
    <d v="2026-02-12T00:00:00"/>
    <m/>
    <x v="2"/>
    <n v="0.6"/>
    <n v="9300"/>
    <n v="10029.780000000001"/>
    <n v="2"/>
    <s v=""/>
    <n v="0"/>
    <n v="-729.78000000000065"/>
  </r>
  <r>
    <s v="TSK-0464"/>
    <s v="PRJ-1014"/>
    <x v="13"/>
    <x v="6"/>
    <s v="Process Improvement"/>
    <x v="1"/>
    <s v="Requirements"/>
    <s v="Requirements Task 16"/>
    <s v="Medium"/>
    <x v="0"/>
    <s v="Internal Team"/>
    <d v="2025-04-20T00:00:00"/>
    <d v="2025-05-10T00:00:00"/>
    <m/>
    <x v="2"/>
    <n v="0.6"/>
    <n v="10000"/>
    <n v="11257.3"/>
    <n v="2"/>
    <s v=""/>
    <n v="0"/>
    <n v="-1257.2999999999993"/>
  </r>
  <r>
    <s v="TSK-0465"/>
    <s v="PRJ-1015"/>
    <x v="14"/>
    <x v="0"/>
    <s v="Facility Upgrade"/>
    <x v="2"/>
    <s v="Configuration"/>
    <s v="Configuration Task 16"/>
    <s v="Medium"/>
    <x v="0"/>
    <s v="Internal Team"/>
    <d v="2025-12-08T00:00:00"/>
    <d v="2026-01-07T00:00:00"/>
    <d v="2025-12-29T00:00:00"/>
    <x v="0"/>
    <n v="1"/>
    <n v="24700"/>
    <n v="23934.81"/>
    <n v="3"/>
    <n v="0"/>
    <n v="0"/>
    <n v="765.18999999999869"/>
  </r>
  <r>
    <s v="TSK-0466"/>
    <s v="PRJ-1016"/>
    <x v="15"/>
    <x v="1"/>
    <s v="Compliance"/>
    <x v="3"/>
    <s v="Execution"/>
    <s v="Execution Task 16"/>
    <s v="Medium"/>
    <x v="1"/>
    <s v="Internal Team"/>
    <d v="2025-09-04T00:00:00"/>
    <d v="2025-09-29T00:00:00"/>
    <m/>
    <x v="3"/>
    <n v="0"/>
    <n v="10900"/>
    <n v="0"/>
    <n v="5"/>
    <s v=""/>
    <n v="0"/>
    <n v="10900"/>
  </r>
  <r>
    <s v="TSK-0467"/>
    <s v="PRJ-1017"/>
    <x v="16"/>
    <x v="2"/>
    <s v="Vendor Transition"/>
    <x v="4"/>
    <s v="Testing"/>
    <s v="Testing Task 16"/>
    <s v="Low"/>
    <x v="2"/>
    <s v="Internal Team"/>
    <d v="2025-04-24T00:00:00"/>
    <d v="2025-05-14T00:00:00"/>
    <d v="2025-05-18T00:00:00"/>
    <x v="0"/>
    <n v="1"/>
    <n v="19400"/>
    <n v="17965.66"/>
    <n v="1"/>
    <n v="4"/>
    <n v="0"/>
    <n v="1434.3400000000001"/>
  </r>
  <r>
    <s v="TSK-0468"/>
    <s v="PRJ-1018"/>
    <x v="17"/>
    <x v="3"/>
    <s v="System Implementation"/>
    <x v="5"/>
    <s v="Training"/>
    <s v="Training Task 16"/>
    <s v="High"/>
    <x v="2"/>
    <s v="Northstar Consulting"/>
    <d v="2025-06-07T00:00:00"/>
    <d v="2025-06-15T00:00:00"/>
    <m/>
    <x v="1"/>
    <n v="0.3"/>
    <n v="16900"/>
    <n v="19495.73"/>
    <n v="1"/>
    <s v=""/>
    <n v="0"/>
    <n v="-2595.7299999999996"/>
  </r>
  <r>
    <s v="TSK-0469"/>
    <s v="PRJ-1019"/>
    <x v="18"/>
    <x v="4"/>
    <s v="Cost Reduction"/>
    <x v="0"/>
    <s v="Launch"/>
    <s v="Launch Task 16"/>
    <s v="High"/>
    <x v="1"/>
    <s v="Internal Team"/>
    <d v="2025-05-06T00:00:00"/>
    <d v="2025-05-23T00:00:00"/>
    <d v="2025-05-18T00:00:00"/>
    <x v="0"/>
    <n v="1"/>
    <n v="7800"/>
    <n v="9117.31"/>
    <n v="5"/>
    <n v="0"/>
    <n v="0"/>
    <n v="-1317.3099999999995"/>
  </r>
  <r>
    <s v="TSK-0470"/>
    <s v="PRJ-1020"/>
    <x v="19"/>
    <x v="5"/>
    <s v="Automation"/>
    <x v="1"/>
    <s v="Closeout"/>
    <s v="Closeout Task 16"/>
    <s v="Medium"/>
    <x v="2"/>
    <s v="Northstar Consulting"/>
    <d v="2025-05-15T00:00:00"/>
    <d v="2025-05-20T00:00:00"/>
    <m/>
    <x v="3"/>
    <n v="0"/>
    <n v="11400"/>
    <n v="0"/>
    <n v="3"/>
    <s v=""/>
    <n v="0"/>
    <n v="11400"/>
  </r>
  <r>
    <s v="TSK-0471"/>
    <s v="PRJ-1021"/>
    <x v="20"/>
    <x v="6"/>
    <s v="Process Improvement"/>
    <x v="2"/>
    <s v="Discovery"/>
    <s v="Discovery Task 16"/>
    <s v="Medium"/>
    <x v="2"/>
    <s v="Internal Team"/>
    <d v="2025-08-26T00:00:00"/>
    <d v="2025-09-22T00:00:00"/>
    <d v="2025-09-18T00:00:00"/>
    <x v="0"/>
    <n v="1"/>
    <n v="43500"/>
    <n v="49191.040000000001"/>
    <n v="1"/>
    <n v="0"/>
    <n v="0"/>
    <n v="-5691.0400000000009"/>
  </r>
  <r>
    <s v="TSK-0472"/>
    <s v="PRJ-1022"/>
    <x v="21"/>
    <x v="0"/>
    <s v="Facility Upgrade"/>
    <x v="3"/>
    <s v="Planning"/>
    <s v="Planning Task 16"/>
    <s v="Low"/>
    <x v="2"/>
    <s v="Northstar Consulting"/>
    <d v="2025-10-11T00:00:00"/>
    <d v="2025-10-20T00:00:00"/>
    <m/>
    <x v="3"/>
    <n v="0"/>
    <n v="6000"/>
    <n v="0"/>
    <n v="4"/>
    <s v=""/>
    <n v="0"/>
    <n v="6000"/>
  </r>
  <r>
    <s v="TSK-0473"/>
    <s v="PRJ-1023"/>
    <x v="22"/>
    <x v="1"/>
    <s v="Compliance"/>
    <x v="4"/>
    <s v="Requirements"/>
    <s v="Requirements Task 16"/>
    <s v="Medium"/>
    <x v="0"/>
    <s v="Internal Team"/>
    <d v="2025-12-01T00:00:00"/>
    <d v="2025-12-07T00:00:00"/>
    <m/>
    <x v="2"/>
    <n v="0.4"/>
    <n v="5200"/>
    <n v="5762.4"/>
    <n v="2"/>
    <s v=""/>
    <n v="0"/>
    <n v="-562.39999999999964"/>
  </r>
  <r>
    <s v="TSK-0474"/>
    <s v="PRJ-1024"/>
    <x v="23"/>
    <x v="2"/>
    <s v="Vendor Transition"/>
    <x v="5"/>
    <s v="Configuration"/>
    <s v="Configuration Task 16"/>
    <s v="Medium"/>
    <x v="2"/>
    <s v="Internal Team"/>
    <d v="2025-02-20T00:00:00"/>
    <d v="2025-02-27T00:00:00"/>
    <d v="2025-02-26T00:00:00"/>
    <x v="0"/>
    <n v="1"/>
    <n v="8900"/>
    <n v="9975.4599999999991"/>
    <n v="2"/>
    <n v="0"/>
    <n v="0"/>
    <n v="-1075.4599999999991"/>
  </r>
  <r>
    <s v="TSK-0475"/>
    <s v="PRJ-1025"/>
    <x v="24"/>
    <x v="3"/>
    <s v="System Implementation"/>
    <x v="0"/>
    <s v="Execution"/>
    <s v="Execution Task 16"/>
    <s v="Critical"/>
    <x v="1"/>
    <s v="Apex Solutions"/>
    <d v="2026-03-07T00:00:00"/>
    <d v="2026-03-18T00:00:00"/>
    <d v="2026-03-31T00:00:00"/>
    <x v="0"/>
    <n v="1"/>
    <n v="25000"/>
    <n v="31777.22"/>
    <n v="2"/>
    <n v="13"/>
    <n v="0"/>
    <n v="-6777.2200000000012"/>
  </r>
  <r>
    <s v="TSK-0476"/>
    <s v="PRJ-1026"/>
    <x v="25"/>
    <x v="4"/>
    <s v="Cost Reduction"/>
    <x v="1"/>
    <s v="Testing"/>
    <s v="Testing Task 16"/>
    <s v="High"/>
    <x v="1"/>
    <s v="Internal Team"/>
    <d v="2025-08-31T00:00:00"/>
    <d v="2025-09-12T00:00:00"/>
    <d v="2025-09-10T00:00:00"/>
    <x v="0"/>
    <n v="1"/>
    <n v="22500"/>
    <n v="24228.54"/>
    <n v="4"/>
    <n v="0"/>
    <n v="0"/>
    <n v="-1728.5400000000009"/>
  </r>
  <r>
    <s v="TSK-0477"/>
    <s v="PRJ-1027"/>
    <x v="26"/>
    <x v="5"/>
    <s v="Automation"/>
    <x v="2"/>
    <s v="Training"/>
    <s v="Training Task 16"/>
    <s v="Medium"/>
    <x v="0"/>
    <s v="Internal Team"/>
    <d v="2026-01-09T00:00:00"/>
    <d v="2026-01-12T00:00:00"/>
    <d v="2026-01-14T00:00:00"/>
    <x v="0"/>
    <n v="1"/>
    <n v="14000"/>
    <n v="13447.45"/>
    <n v="0"/>
    <n v="2"/>
    <n v="0"/>
    <n v="552.54999999999927"/>
  </r>
  <r>
    <s v="TSK-0478"/>
    <s v="PRJ-1028"/>
    <x v="27"/>
    <x v="6"/>
    <s v="Process Improvement"/>
    <x v="3"/>
    <s v="Launch"/>
    <s v="Launch Task 16"/>
    <s v="Medium"/>
    <x v="2"/>
    <s v="Internal Team"/>
    <d v="2026-03-24T00:00:00"/>
    <d v="2026-04-21T00:00:00"/>
    <m/>
    <x v="2"/>
    <n v="0.4"/>
    <n v="36200"/>
    <n v="35594.949999999997"/>
    <n v="1"/>
    <s v=""/>
    <n v="0"/>
    <n v="605.05000000000291"/>
  </r>
  <r>
    <s v="TSK-0479"/>
    <s v="PRJ-1029"/>
    <x v="28"/>
    <x v="0"/>
    <s v="Facility Upgrade"/>
    <x v="4"/>
    <s v="Closeout"/>
    <s v="Closeout Task 16"/>
    <s v="High"/>
    <x v="0"/>
    <s v="Internal Team"/>
    <d v="2026-04-09T00:00:00"/>
    <d v="2026-05-08T00:00:00"/>
    <m/>
    <x v="2"/>
    <n v="0.5"/>
    <n v="4900"/>
    <n v="4894.05"/>
    <n v="0"/>
    <s v=""/>
    <n v="0"/>
    <n v="5.9499999999998181"/>
  </r>
  <r>
    <s v="TSK-0480"/>
    <s v="PRJ-1030"/>
    <x v="29"/>
    <x v="1"/>
    <s v="Compliance"/>
    <x v="5"/>
    <s v="Planning"/>
    <s v="Planning Task 16"/>
    <s v="High"/>
    <x v="2"/>
    <s v="Vertex Systems"/>
    <d v="2025-12-20T00:00:00"/>
    <d v="2026-01-01T00:00:00"/>
    <d v="2025-12-28T00:00:00"/>
    <x v="0"/>
    <n v="1"/>
    <n v="24600"/>
    <n v="24885.95"/>
    <n v="3"/>
    <n v="0"/>
    <n v="0"/>
    <n v="-285.95000000000073"/>
  </r>
  <r>
    <s v="TSK-0481"/>
    <s v="PRJ-1001"/>
    <x v="0"/>
    <x v="0"/>
    <s v="Facility Upgrade"/>
    <x v="0"/>
    <s v="Requirements"/>
    <s v="Requirements Task 17"/>
    <s v="Low"/>
    <x v="0"/>
    <s v="Internal Team"/>
    <d v="2026-03-25T00:00:00"/>
    <d v="2026-04-16T00:00:00"/>
    <m/>
    <x v="0"/>
    <n v="0.85"/>
    <n v="28600"/>
    <n v="29409.23"/>
    <n v="1"/>
    <s v=""/>
    <n v="0"/>
    <n v="-809.22999999999956"/>
  </r>
  <r>
    <s v="TSK-0482"/>
    <s v="PRJ-1002"/>
    <x v="1"/>
    <x v="1"/>
    <s v="Compliance"/>
    <x v="1"/>
    <s v="Configuration"/>
    <s v="Configuration Task 17"/>
    <s v="Low"/>
    <x v="2"/>
    <s v="Internal Team"/>
    <d v="2025-03-30T00:00:00"/>
    <d v="2025-04-11T00:00:00"/>
    <m/>
    <x v="0"/>
    <n v="0.85"/>
    <n v="20600"/>
    <n v="21995.96"/>
    <n v="2"/>
    <s v=""/>
    <n v="0"/>
    <n v="-1395.9599999999991"/>
  </r>
  <r>
    <s v="TSK-0483"/>
    <s v="PRJ-1003"/>
    <x v="2"/>
    <x v="2"/>
    <s v="Vendor Transition"/>
    <x v="2"/>
    <s v="Execution"/>
    <s v="Execution Task 17"/>
    <s v="Low"/>
    <x v="0"/>
    <s v="Internal Team"/>
    <d v="2025-05-25T00:00:00"/>
    <d v="2025-06-08T00:00:00"/>
    <d v="2025-06-12T00:00:00"/>
    <x v="0"/>
    <n v="1"/>
    <n v="38200"/>
    <n v="35328.36"/>
    <n v="2"/>
    <n v="4"/>
    <n v="0"/>
    <n v="2871.6399999999994"/>
  </r>
  <r>
    <s v="TSK-0484"/>
    <s v="PRJ-1004"/>
    <x v="3"/>
    <x v="3"/>
    <s v="System Implementation"/>
    <x v="3"/>
    <s v="Testing"/>
    <s v="Testing Task 17"/>
    <s v="High"/>
    <x v="0"/>
    <s v="Apex Solutions"/>
    <d v="2026-03-10T00:00:00"/>
    <d v="2026-04-08T00:00:00"/>
    <m/>
    <x v="0"/>
    <n v="0.6"/>
    <n v="37500"/>
    <n v="37830.879999999997"/>
    <n v="3"/>
    <s v=""/>
    <n v="0"/>
    <n v="-330.87999999999738"/>
  </r>
  <r>
    <s v="TSK-0485"/>
    <s v="PRJ-1005"/>
    <x v="4"/>
    <x v="4"/>
    <s v="Cost Reduction"/>
    <x v="4"/>
    <s v="Training"/>
    <s v="Training Task 17"/>
    <s v="Medium"/>
    <x v="2"/>
    <s v="Internal Team"/>
    <d v="2025-06-03T00:00:00"/>
    <d v="2025-06-12T00:00:00"/>
    <d v="2025-06-22T00:00:00"/>
    <x v="0"/>
    <n v="1"/>
    <n v="35000"/>
    <n v="24874.35"/>
    <n v="1"/>
    <n v="10"/>
    <n v="0"/>
    <n v="10125.650000000001"/>
  </r>
  <r>
    <s v="TSK-0486"/>
    <s v="PRJ-1006"/>
    <x v="5"/>
    <x v="5"/>
    <s v="Automation"/>
    <x v="5"/>
    <s v="Launch"/>
    <s v="Launch Task 17"/>
    <s v="Medium"/>
    <x v="2"/>
    <s v="Internal Team"/>
    <d v="2025-08-01T00:00:00"/>
    <d v="2025-08-09T00:00:00"/>
    <d v="2025-08-27T00:00:00"/>
    <x v="0"/>
    <n v="1"/>
    <n v="24200"/>
    <n v="26325.79"/>
    <n v="2"/>
    <n v="18"/>
    <n v="0"/>
    <n v="-2125.7900000000009"/>
  </r>
  <r>
    <s v="TSK-0487"/>
    <s v="PRJ-1007"/>
    <x v="6"/>
    <x v="6"/>
    <s v="Process Improvement"/>
    <x v="0"/>
    <s v="Closeout"/>
    <s v="Closeout Task 17"/>
    <s v="Medium"/>
    <x v="1"/>
    <s v="Summit Partners"/>
    <d v="2025-06-24T00:00:00"/>
    <d v="2025-06-30T00:00:00"/>
    <m/>
    <x v="0"/>
    <n v="0.6"/>
    <n v="15600"/>
    <n v="19139.46"/>
    <n v="4"/>
    <s v=""/>
    <n v="0"/>
    <n v="-3539.4599999999991"/>
  </r>
  <r>
    <s v="TSK-0488"/>
    <s v="PRJ-1008"/>
    <x v="7"/>
    <x v="0"/>
    <s v="Facility Upgrade"/>
    <x v="1"/>
    <s v="Discovery"/>
    <s v="Discovery Task 17"/>
    <s v="Low"/>
    <x v="2"/>
    <s v="Internal Team"/>
    <d v="2025-03-28T00:00:00"/>
    <d v="2025-04-18T00:00:00"/>
    <d v="2025-04-25T00:00:00"/>
    <x v="0"/>
    <n v="1"/>
    <n v="22200"/>
    <n v="20707.93"/>
    <n v="1"/>
    <n v="7"/>
    <n v="0"/>
    <n v="1492.0699999999997"/>
  </r>
  <r>
    <s v="TSK-0489"/>
    <s v="PRJ-1009"/>
    <x v="8"/>
    <x v="1"/>
    <s v="Compliance"/>
    <x v="2"/>
    <s v="Planning"/>
    <s v="Planning Task 17"/>
    <s v="Low"/>
    <x v="0"/>
    <s v="Internal Team"/>
    <d v="2026-04-14T00:00:00"/>
    <d v="2026-05-11T00:00:00"/>
    <d v="2026-05-22T00:00:00"/>
    <x v="0"/>
    <n v="1"/>
    <n v="32000"/>
    <n v="34497.17"/>
    <n v="1"/>
    <n v="11"/>
    <n v="0"/>
    <n v="-2497.1699999999983"/>
  </r>
  <r>
    <s v="TSK-0490"/>
    <s v="PRJ-1010"/>
    <x v="9"/>
    <x v="2"/>
    <s v="Vendor Transition"/>
    <x v="3"/>
    <s v="Requirements"/>
    <s v="Requirements Task 17"/>
    <s v="Medium"/>
    <x v="1"/>
    <s v="Vertex Systems"/>
    <d v="2025-05-26T00:00:00"/>
    <d v="2025-06-23T00:00:00"/>
    <d v="2025-06-21T00:00:00"/>
    <x v="0"/>
    <n v="1"/>
    <n v="33400"/>
    <n v="39284.71"/>
    <n v="3"/>
    <n v="0"/>
    <n v="0"/>
    <n v="-5884.7099999999991"/>
  </r>
  <r>
    <s v="TSK-0491"/>
    <s v="PRJ-1011"/>
    <x v="10"/>
    <x v="3"/>
    <s v="System Implementation"/>
    <x v="4"/>
    <s v="Configuration"/>
    <s v="Configuration Task 17"/>
    <s v="High"/>
    <x v="0"/>
    <s v="Internal Team"/>
    <d v="2026-04-09T00:00:00"/>
    <d v="2026-04-29T00:00:00"/>
    <m/>
    <x v="2"/>
    <n v="0.85"/>
    <n v="22800"/>
    <n v="20386.490000000002"/>
    <n v="1"/>
    <s v=""/>
    <n v="0"/>
    <n v="2413.5099999999984"/>
  </r>
  <r>
    <s v="TSK-0492"/>
    <s v="PRJ-1012"/>
    <x v="11"/>
    <x v="4"/>
    <s v="Cost Reduction"/>
    <x v="5"/>
    <s v="Execution"/>
    <s v="Execution Task 17"/>
    <s v="Medium"/>
    <x v="0"/>
    <s v="Summit Partners"/>
    <d v="2026-06-10T00:00:00"/>
    <d v="2026-06-18T00:00:00"/>
    <m/>
    <x v="3"/>
    <n v="0"/>
    <n v="8200"/>
    <n v="0"/>
    <n v="2"/>
    <s v=""/>
    <n v="0"/>
    <n v="8200"/>
  </r>
  <r>
    <s v="TSK-0493"/>
    <s v="PRJ-1013"/>
    <x v="12"/>
    <x v="5"/>
    <s v="Automation"/>
    <x v="0"/>
    <s v="Testing"/>
    <s v="Testing Task 17"/>
    <s v="Medium"/>
    <x v="0"/>
    <s v="Northstar Consulting"/>
    <d v="2026-01-17T00:00:00"/>
    <d v="2026-02-12T00:00:00"/>
    <m/>
    <x v="2"/>
    <n v="0.25"/>
    <n v="28500"/>
    <n v="26204.240000000002"/>
    <n v="3"/>
    <s v=""/>
    <n v="0"/>
    <n v="2295.7599999999984"/>
  </r>
  <r>
    <s v="TSK-0494"/>
    <s v="PRJ-1014"/>
    <x v="13"/>
    <x v="6"/>
    <s v="Process Improvement"/>
    <x v="1"/>
    <s v="Training"/>
    <s v="Training Task 17"/>
    <s v="Medium"/>
    <x v="0"/>
    <s v="BluePeak Services"/>
    <d v="2025-05-29T00:00:00"/>
    <d v="2025-06-07T00:00:00"/>
    <d v="2025-05-31T00:00:00"/>
    <x v="0"/>
    <n v="1"/>
    <n v="28200"/>
    <n v="28824.49"/>
    <n v="0"/>
    <n v="0"/>
    <n v="0"/>
    <n v="-624.4900000000016"/>
  </r>
  <r>
    <s v="TSK-0495"/>
    <s v="PRJ-1015"/>
    <x v="14"/>
    <x v="0"/>
    <s v="Facility Upgrade"/>
    <x v="2"/>
    <s v="Launch"/>
    <s v="Launch Task 17"/>
    <s v="Low"/>
    <x v="2"/>
    <s v="Internal Team"/>
    <d v="2025-12-07T00:00:00"/>
    <d v="2025-12-15T00:00:00"/>
    <d v="2025-12-26T00:00:00"/>
    <x v="0"/>
    <n v="1"/>
    <n v="10300"/>
    <n v="9991.51"/>
    <n v="2"/>
    <n v="11"/>
    <n v="0"/>
    <n v="308.48999999999978"/>
  </r>
  <r>
    <s v="TSK-0496"/>
    <s v="PRJ-1016"/>
    <x v="15"/>
    <x v="1"/>
    <s v="Compliance"/>
    <x v="3"/>
    <s v="Closeout"/>
    <s v="Closeout Task 17"/>
    <s v="High"/>
    <x v="2"/>
    <s v="Northstar Consulting"/>
    <d v="2025-12-22T00:00:00"/>
    <d v="2026-01-13T00:00:00"/>
    <d v="2026-01-15T00:00:00"/>
    <x v="0"/>
    <n v="1"/>
    <n v="27900"/>
    <n v="31387.67"/>
    <n v="4"/>
    <n v="2"/>
    <n v="0"/>
    <n v="-3487.6699999999983"/>
  </r>
  <r>
    <s v="TSK-0497"/>
    <s v="PRJ-1017"/>
    <x v="16"/>
    <x v="2"/>
    <s v="Vendor Transition"/>
    <x v="4"/>
    <s v="Discovery"/>
    <s v="Discovery Task 17"/>
    <s v="Medium"/>
    <x v="0"/>
    <s v="Summit Partners"/>
    <d v="2025-02-11T00:00:00"/>
    <d v="2025-02-28T00:00:00"/>
    <d v="2025-03-09T00:00:00"/>
    <x v="0"/>
    <n v="1"/>
    <n v="4100"/>
    <n v="3187.63"/>
    <n v="0"/>
    <n v="9"/>
    <n v="0"/>
    <n v="912.36999999999989"/>
  </r>
  <r>
    <s v="TSK-0498"/>
    <s v="PRJ-1018"/>
    <x v="17"/>
    <x v="3"/>
    <s v="System Implementation"/>
    <x v="5"/>
    <s v="Planning"/>
    <s v="Planning Task 17"/>
    <s v="Medium"/>
    <x v="0"/>
    <s v="Vertex Systems"/>
    <d v="2025-03-30T00:00:00"/>
    <d v="2025-04-18T00:00:00"/>
    <m/>
    <x v="3"/>
    <n v="0"/>
    <n v="4600"/>
    <n v="0"/>
    <n v="4"/>
    <s v=""/>
    <n v="0"/>
    <n v="4600"/>
  </r>
  <r>
    <s v="TSK-0499"/>
    <s v="PRJ-1019"/>
    <x v="18"/>
    <x v="4"/>
    <s v="Cost Reduction"/>
    <x v="0"/>
    <s v="Requirements"/>
    <s v="Requirements Task 17"/>
    <s v="Critical"/>
    <x v="0"/>
    <s v="Vertex Systems"/>
    <d v="2025-07-08T00:00:00"/>
    <d v="2025-07-23T00:00:00"/>
    <m/>
    <x v="2"/>
    <n v="0.75"/>
    <n v="30100"/>
    <n v="23429.32"/>
    <n v="0"/>
    <s v=""/>
    <n v="0"/>
    <n v="6670.68"/>
  </r>
  <r>
    <s v="TSK-0500"/>
    <s v="PRJ-1020"/>
    <x v="19"/>
    <x v="5"/>
    <s v="Automation"/>
    <x v="1"/>
    <s v="Configuration"/>
    <s v="Configuration Task 17"/>
    <s v="Medium"/>
    <x v="2"/>
    <s v="Vertex Systems"/>
    <d v="2025-09-21T00:00:00"/>
    <d v="2025-10-05T00:00:00"/>
    <d v="2025-10-05T00:00:00"/>
    <x v="0"/>
    <n v="1"/>
    <n v="6000"/>
    <n v="5454.12"/>
    <n v="2"/>
    <n v="0"/>
    <n v="0"/>
    <n v="545.88000000000011"/>
  </r>
  <r>
    <s v="TSK-0501"/>
    <s v="PRJ-1021"/>
    <x v="20"/>
    <x v="6"/>
    <s v="Process Improvement"/>
    <x v="2"/>
    <s v="Execution"/>
    <s v="Execution Task 17"/>
    <s v="Medium"/>
    <x v="2"/>
    <s v="Apex Solutions"/>
    <d v="2025-08-26T00:00:00"/>
    <d v="2025-09-09T00:00:00"/>
    <d v="2025-09-02T00:00:00"/>
    <x v="0"/>
    <n v="1"/>
    <n v="25400"/>
    <n v="31300.720000000001"/>
    <n v="2"/>
    <n v="0"/>
    <n v="0"/>
    <n v="-5900.7200000000012"/>
  </r>
  <r>
    <s v="TSK-0502"/>
    <s v="PRJ-1022"/>
    <x v="21"/>
    <x v="0"/>
    <s v="Facility Upgrade"/>
    <x v="3"/>
    <s v="Testing"/>
    <s v="Testing Task 17"/>
    <s v="Medium"/>
    <x v="2"/>
    <s v="Summit Partners"/>
    <d v="2025-12-12T00:00:00"/>
    <d v="2026-01-03T00:00:00"/>
    <m/>
    <x v="2"/>
    <n v="0.75"/>
    <n v="10800"/>
    <n v="11283.23"/>
    <n v="0"/>
    <s v=""/>
    <n v="0"/>
    <n v="-483.22999999999956"/>
  </r>
  <r>
    <s v="TSK-0503"/>
    <s v="PRJ-1023"/>
    <x v="22"/>
    <x v="1"/>
    <s v="Compliance"/>
    <x v="4"/>
    <s v="Training"/>
    <s v="Training Task 17"/>
    <s v="Medium"/>
    <x v="1"/>
    <s v="Internal Team"/>
    <d v="2026-02-19T00:00:00"/>
    <d v="2026-02-22T00:00:00"/>
    <d v="2026-03-05T00:00:00"/>
    <x v="0"/>
    <n v="1"/>
    <n v="24000"/>
    <n v="25300.22"/>
    <n v="4"/>
    <n v="11"/>
    <n v="0"/>
    <n v="-1300.2200000000012"/>
  </r>
  <r>
    <s v="TSK-0504"/>
    <s v="PRJ-1024"/>
    <x v="23"/>
    <x v="2"/>
    <s v="Vendor Transition"/>
    <x v="5"/>
    <s v="Launch"/>
    <s v="Launch Task 17"/>
    <s v="Medium"/>
    <x v="0"/>
    <s v="Summit Partners"/>
    <d v="2025-01-24T00:00:00"/>
    <d v="2025-02-20T00:00:00"/>
    <d v="2025-02-22T00:00:00"/>
    <x v="0"/>
    <n v="1"/>
    <n v="31500"/>
    <n v="31415.37"/>
    <n v="3"/>
    <n v="2"/>
    <n v="0"/>
    <n v="84.630000000001019"/>
  </r>
  <r>
    <s v="TSK-0505"/>
    <s v="PRJ-1025"/>
    <x v="24"/>
    <x v="3"/>
    <s v="System Implementation"/>
    <x v="0"/>
    <s v="Closeout"/>
    <s v="Closeout Task 17"/>
    <s v="Medium"/>
    <x v="1"/>
    <s v="Internal Team"/>
    <d v="2025-10-29T00:00:00"/>
    <d v="2025-11-15T00:00:00"/>
    <m/>
    <x v="2"/>
    <n v="0.4"/>
    <n v="13000"/>
    <n v="14743.86"/>
    <n v="2"/>
    <s v=""/>
    <n v="0"/>
    <n v="-1743.8600000000006"/>
  </r>
  <r>
    <s v="TSK-0506"/>
    <s v="PRJ-1026"/>
    <x v="25"/>
    <x v="4"/>
    <s v="Cost Reduction"/>
    <x v="1"/>
    <s v="Discovery"/>
    <s v="Discovery Task 17"/>
    <s v="Medium"/>
    <x v="0"/>
    <s v="Northstar Consulting"/>
    <d v="2025-09-09T00:00:00"/>
    <d v="2025-09-18T00:00:00"/>
    <d v="2025-09-18T00:00:00"/>
    <x v="0"/>
    <n v="1"/>
    <n v="9000"/>
    <n v="7447.31"/>
    <n v="2"/>
    <n v="0"/>
    <n v="0"/>
    <n v="1552.6899999999996"/>
  </r>
  <r>
    <s v="TSK-0507"/>
    <s v="PRJ-1027"/>
    <x v="26"/>
    <x v="5"/>
    <s v="Automation"/>
    <x v="2"/>
    <s v="Planning"/>
    <s v="Planning Task 17"/>
    <s v="High"/>
    <x v="1"/>
    <s v="Northstar Consulting"/>
    <d v="2026-03-24T00:00:00"/>
    <d v="2026-03-28T00:00:00"/>
    <d v="2026-03-20T00:00:00"/>
    <x v="0"/>
    <n v="1"/>
    <n v="26600"/>
    <n v="29336.41"/>
    <n v="3"/>
    <n v="0"/>
    <n v="0"/>
    <n v="-2736.41"/>
  </r>
  <r>
    <s v="TSK-0508"/>
    <s v="PRJ-1028"/>
    <x v="27"/>
    <x v="6"/>
    <s v="Process Improvement"/>
    <x v="3"/>
    <s v="Requirements"/>
    <s v="Requirements Task 17"/>
    <s v="High"/>
    <x v="0"/>
    <s v="Summit Partners"/>
    <d v="2026-03-20T00:00:00"/>
    <d v="2026-04-19T00:00:00"/>
    <m/>
    <x v="3"/>
    <n v="0"/>
    <n v="35000"/>
    <n v="0"/>
    <n v="0"/>
    <s v=""/>
    <n v="0"/>
    <n v="35000"/>
  </r>
  <r>
    <s v="TSK-0509"/>
    <s v="PRJ-1029"/>
    <x v="28"/>
    <x v="0"/>
    <s v="Facility Upgrade"/>
    <x v="4"/>
    <s v="Configuration"/>
    <s v="Configuration Task 17"/>
    <s v="Critical"/>
    <x v="2"/>
    <s v="Northstar Consulting"/>
    <d v="2026-01-13T00:00:00"/>
    <d v="2026-01-25T00:00:00"/>
    <d v="2026-01-23T00:00:00"/>
    <x v="0"/>
    <n v="1"/>
    <n v="15700"/>
    <n v="18034.05"/>
    <n v="1"/>
    <n v="0"/>
    <n v="0"/>
    <n v="-2334.0499999999993"/>
  </r>
  <r>
    <s v="TSK-0510"/>
    <s v="PRJ-1030"/>
    <x v="29"/>
    <x v="1"/>
    <s v="Compliance"/>
    <x v="5"/>
    <s v="Testing"/>
    <s v="Testing Task 17"/>
    <s v="High"/>
    <x v="1"/>
    <s v="BluePeak Services"/>
    <d v="2026-03-08T00:00:00"/>
    <d v="2026-03-27T00:00:00"/>
    <m/>
    <x v="3"/>
    <n v="0"/>
    <n v="20300"/>
    <n v="0"/>
    <n v="3"/>
    <s v=""/>
    <n v="0"/>
    <n v="20300"/>
  </r>
  <r>
    <s v="TSK-0511"/>
    <s v="PRJ-1001"/>
    <x v="0"/>
    <x v="0"/>
    <s v="Facility Upgrade"/>
    <x v="0"/>
    <s v="Training"/>
    <s v="Training Task 18"/>
    <s v="Medium"/>
    <x v="0"/>
    <s v="Vertex Systems"/>
    <d v="2026-04-18T00:00:00"/>
    <d v="2026-05-03T00:00:00"/>
    <m/>
    <x v="0"/>
    <n v="0.6"/>
    <n v="23300"/>
    <n v="22353.03"/>
    <n v="1"/>
    <s v=""/>
    <n v="0"/>
    <n v="946.97000000000116"/>
  </r>
  <r>
    <s v="TSK-0512"/>
    <s v="PRJ-1002"/>
    <x v="1"/>
    <x v="1"/>
    <s v="Compliance"/>
    <x v="1"/>
    <s v="Launch"/>
    <s v="Launch Task 18"/>
    <s v="Medium"/>
    <x v="2"/>
    <s v="Apex Solutions"/>
    <d v="2025-07-28T00:00:00"/>
    <d v="2025-08-06T00:00:00"/>
    <d v="2025-08-04T00:00:00"/>
    <x v="0"/>
    <n v="1"/>
    <n v="44900"/>
    <n v="42161.23"/>
    <n v="2"/>
    <n v="0"/>
    <n v="0"/>
    <n v="2738.7699999999968"/>
  </r>
  <r>
    <s v="TSK-0513"/>
    <s v="PRJ-1003"/>
    <x v="2"/>
    <x v="2"/>
    <s v="Vendor Transition"/>
    <x v="2"/>
    <s v="Closeout"/>
    <s v="Closeout Task 18"/>
    <s v="Medium"/>
    <x v="0"/>
    <s v="Vertex Systems"/>
    <d v="2025-06-14T00:00:00"/>
    <d v="2025-06-19T00:00:00"/>
    <m/>
    <x v="0"/>
    <n v="0"/>
    <n v="19500"/>
    <n v="0"/>
    <n v="2"/>
    <s v=""/>
    <n v="0"/>
    <n v="19500"/>
  </r>
  <r>
    <s v="TSK-0514"/>
    <s v="PRJ-1004"/>
    <x v="3"/>
    <x v="3"/>
    <s v="System Implementation"/>
    <x v="3"/>
    <s v="Discovery"/>
    <s v="Discovery Task 18"/>
    <s v="Medium"/>
    <x v="2"/>
    <s v="Vertex Systems"/>
    <d v="2026-03-04T00:00:00"/>
    <d v="2026-03-18T00:00:00"/>
    <d v="2026-03-28T00:00:00"/>
    <x v="0"/>
    <n v="1"/>
    <n v="7800"/>
    <n v="7898.71"/>
    <n v="4"/>
    <n v="10"/>
    <n v="0"/>
    <n v="-98.710000000000036"/>
  </r>
  <r>
    <s v="TSK-0515"/>
    <s v="PRJ-1005"/>
    <x v="4"/>
    <x v="4"/>
    <s v="Cost Reduction"/>
    <x v="4"/>
    <s v="Planning"/>
    <s v="Planning Task 18"/>
    <s v="Medium"/>
    <x v="0"/>
    <s v="Vertex Systems"/>
    <d v="2025-06-16T00:00:00"/>
    <d v="2025-06-22T00:00:00"/>
    <d v="2025-06-28T00:00:00"/>
    <x v="0"/>
    <n v="1"/>
    <n v="12100"/>
    <n v="11796.76"/>
    <n v="1"/>
    <n v="6"/>
    <n v="0"/>
    <n v="303.23999999999978"/>
  </r>
  <r>
    <s v="TSK-0516"/>
    <s v="PRJ-1006"/>
    <x v="5"/>
    <x v="5"/>
    <s v="Automation"/>
    <x v="5"/>
    <s v="Requirements"/>
    <s v="Requirements Task 18"/>
    <s v="High"/>
    <x v="0"/>
    <s v="Internal Team"/>
    <d v="2025-06-08T00:00:00"/>
    <d v="2025-06-20T00:00:00"/>
    <m/>
    <x v="0"/>
    <n v="0.25"/>
    <n v="15900"/>
    <n v="16142.31"/>
    <n v="0"/>
    <s v=""/>
    <n v="0"/>
    <n v="-242.30999999999949"/>
  </r>
  <r>
    <s v="TSK-0517"/>
    <s v="PRJ-1007"/>
    <x v="6"/>
    <x v="6"/>
    <s v="Process Improvement"/>
    <x v="0"/>
    <s v="Configuration"/>
    <s v="Configuration Task 18"/>
    <s v="Medium"/>
    <x v="2"/>
    <s v="Apex Solutions"/>
    <d v="2025-06-05T00:00:00"/>
    <d v="2025-06-30T00:00:00"/>
    <d v="2025-07-11T00:00:00"/>
    <x v="0"/>
    <n v="1"/>
    <n v="30400"/>
    <n v="31517.88"/>
    <n v="2"/>
    <n v="11"/>
    <n v="0"/>
    <n v="-1117.880000000001"/>
  </r>
  <r>
    <s v="TSK-0518"/>
    <s v="PRJ-1008"/>
    <x v="7"/>
    <x v="0"/>
    <s v="Facility Upgrade"/>
    <x v="1"/>
    <s v="Execution"/>
    <s v="Execution Task 18"/>
    <s v="Medium"/>
    <x v="2"/>
    <s v="Northstar Consulting"/>
    <d v="2025-03-31T00:00:00"/>
    <d v="2025-04-17T00:00:00"/>
    <d v="2025-04-20T00:00:00"/>
    <x v="0"/>
    <n v="1"/>
    <n v="1900"/>
    <n v="1810.78"/>
    <n v="2"/>
    <n v="3"/>
    <n v="0"/>
    <n v="89.220000000000027"/>
  </r>
  <r>
    <s v="TSK-0519"/>
    <s v="PRJ-1009"/>
    <x v="8"/>
    <x v="1"/>
    <s v="Compliance"/>
    <x v="2"/>
    <s v="Testing"/>
    <s v="Testing Task 18"/>
    <s v="High"/>
    <x v="2"/>
    <s v="Summit Partners"/>
    <d v="2026-01-22T00:00:00"/>
    <d v="2026-02-03T00:00:00"/>
    <d v="2026-02-02T00:00:00"/>
    <x v="0"/>
    <n v="1"/>
    <n v="18100"/>
    <n v="17297.189999999999"/>
    <n v="2"/>
    <n v="0"/>
    <n v="0"/>
    <n v="802.81000000000131"/>
  </r>
  <r>
    <s v="TSK-0520"/>
    <s v="PRJ-1010"/>
    <x v="9"/>
    <x v="2"/>
    <s v="Vendor Transition"/>
    <x v="3"/>
    <s v="Training"/>
    <s v="Training Task 18"/>
    <s v="Medium"/>
    <x v="1"/>
    <s v="Apex Solutions"/>
    <d v="2025-04-15T00:00:00"/>
    <d v="2025-04-24T00:00:00"/>
    <d v="2025-04-26T00:00:00"/>
    <x v="0"/>
    <n v="1"/>
    <n v="21400"/>
    <n v="23337.05"/>
    <n v="3"/>
    <n v="2"/>
    <n v="0"/>
    <n v="-1937.0499999999993"/>
  </r>
  <r>
    <s v="TSK-0521"/>
    <s v="PRJ-1011"/>
    <x v="10"/>
    <x v="3"/>
    <s v="System Implementation"/>
    <x v="4"/>
    <s v="Launch"/>
    <s v="Launch Task 18"/>
    <s v="Medium"/>
    <x v="2"/>
    <s v="Internal Team"/>
    <d v="2026-03-28T00:00:00"/>
    <d v="2026-04-23T00:00:00"/>
    <m/>
    <x v="3"/>
    <n v="0"/>
    <n v="16600"/>
    <n v="0"/>
    <n v="3"/>
    <s v=""/>
    <n v="0"/>
    <n v="16600"/>
  </r>
  <r>
    <s v="TSK-0522"/>
    <s v="PRJ-1012"/>
    <x v="11"/>
    <x v="4"/>
    <s v="Cost Reduction"/>
    <x v="5"/>
    <s v="Closeout"/>
    <s v="Closeout Task 18"/>
    <s v="Medium"/>
    <x v="1"/>
    <s v="Apex Solutions"/>
    <d v="2026-02-04T00:00:00"/>
    <d v="2026-02-27T00:00:00"/>
    <m/>
    <x v="2"/>
    <n v="0.6"/>
    <n v="40200"/>
    <n v="43442.64"/>
    <n v="3"/>
    <s v=""/>
    <n v="0"/>
    <n v="-3242.6399999999994"/>
  </r>
  <r>
    <s v="TSK-0523"/>
    <s v="PRJ-1013"/>
    <x v="12"/>
    <x v="5"/>
    <s v="Automation"/>
    <x v="0"/>
    <s v="Discovery"/>
    <s v="Discovery Task 18"/>
    <s v="Medium"/>
    <x v="0"/>
    <s v="Internal Team"/>
    <d v="2026-01-20T00:00:00"/>
    <d v="2026-02-13T00:00:00"/>
    <m/>
    <x v="3"/>
    <n v="0"/>
    <n v="33300"/>
    <n v="0"/>
    <n v="1"/>
    <s v=""/>
    <n v="0"/>
    <n v="33300"/>
  </r>
  <r>
    <s v="TSK-0524"/>
    <s v="PRJ-1014"/>
    <x v="13"/>
    <x v="6"/>
    <s v="Process Improvement"/>
    <x v="1"/>
    <s v="Planning"/>
    <s v="Planning Task 18"/>
    <s v="High"/>
    <x v="2"/>
    <s v="Internal Team"/>
    <d v="2025-07-15T00:00:00"/>
    <d v="2025-07-22T00:00:00"/>
    <m/>
    <x v="2"/>
    <n v="0.5"/>
    <n v="41100"/>
    <n v="39221.519999999997"/>
    <n v="3"/>
    <s v=""/>
    <n v="0"/>
    <n v="1878.4800000000032"/>
  </r>
  <r>
    <s v="TSK-0525"/>
    <s v="PRJ-1015"/>
    <x v="14"/>
    <x v="0"/>
    <s v="Facility Upgrade"/>
    <x v="2"/>
    <s v="Requirements"/>
    <s v="Requirements Task 18"/>
    <s v="Medium"/>
    <x v="0"/>
    <s v="Apex Solutions"/>
    <d v="2025-12-25T00:00:00"/>
    <d v="2026-01-24T00:00:00"/>
    <m/>
    <x v="3"/>
    <n v="0"/>
    <n v="31500"/>
    <n v="0"/>
    <n v="0"/>
    <s v=""/>
    <n v="0"/>
    <n v="31500"/>
  </r>
  <r>
    <s v="TSK-0526"/>
    <s v="PRJ-1016"/>
    <x v="15"/>
    <x v="1"/>
    <s v="Compliance"/>
    <x v="3"/>
    <s v="Configuration"/>
    <s v="Configuration Task 18"/>
    <s v="Medium"/>
    <x v="1"/>
    <s v="Vertex Systems"/>
    <d v="2026-01-01T00:00:00"/>
    <d v="2026-01-09T00:00:00"/>
    <m/>
    <x v="2"/>
    <n v="0.75"/>
    <n v="24700"/>
    <n v="26098.21"/>
    <n v="2"/>
    <s v=""/>
    <n v="0"/>
    <n v="-1398.2099999999991"/>
  </r>
  <r>
    <s v="TSK-0527"/>
    <s v="PRJ-1017"/>
    <x v="16"/>
    <x v="2"/>
    <s v="Vendor Transition"/>
    <x v="4"/>
    <s v="Execution"/>
    <s v="Execution Task 18"/>
    <s v="High"/>
    <x v="0"/>
    <s v="Internal Team"/>
    <d v="2025-04-13T00:00:00"/>
    <d v="2025-04-29T00:00:00"/>
    <m/>
    <x v="1"/>
    <n v="0.3"/>
    <n v="20800"/>
    <n v="25650.95"/>
    <n v="0"/>
    <s v=""/>
    <n v="0"/>
    <n v="-4850.9500000000007"/>
  </r>
  <r>
    <s v="TSK-0528"/>
    <s v="PRJ-1018"/>
    <x v="17"/>
    <x v="3"/>
    <s v="System Implementation"/>
    <x v="5"/>
    <s v="Testing"/>
    <s v="Testing Task 18"/>
    <s v="Critical"/>
    <x v="0"/>
    <s v="Vertex Systems"/>
    <d v="2025-02-17T00:00:00"/>
    <d v="2025-02-24T00:00:00"/>
    <m/>
    <x v="2"/>
    <n v="0.9"/>
    <n v="44400"/>
    <n v="40344.769999999997"/>
    <n v="0"/>
    <s v=""/>
    <n v="0"/>
    <n v="4055.2300000000032"/>
  </r>
  <r>
    <s v="TSK-0529"/>
    <s v="PRJ-1019"/>
    <x v="18"/>
    <x v="4"/>
    <s v="Cost Reduction"/>
    <x v="0"/>
    <s v="Training"/>
    <s v="Training Task 18"/>
    <s v="High"/>
    <x v="2"/>
    <s v="Internal Team"/>
    <d v="2025-02-28T00:00:00"/>
    <d v="2025-03-14T00:00:00"/>
    <m/>
    <x v="3"/>
    <n v="0"/>
    <n v="35400"/>
    <n v="0"/>
    <n v="4"/>
    <s v=""/>
    <n v="0"/>
    <n v="35400"/>
  </r>
  <r>
    <s v="TSK-0530"/>
    <s v="PRJ-1020"/>
    <x v="19"/>
    <x v="5"/>
    <s v="Automation"/>
    <x v="1"/>
    <s v="Launch"/>
    <s v="Launch Task 18"/>
    <s v="Medium"/>
    <x v="2"/>
    <s v="Internal Team"/>
    <d v="2025-08-04T00:00:00"/>
    <d v="2025-08-22T00:00:00"/>
    <d v="2025-08-27T00:00:00"/>
    <x v="0"/>
    <n v="1"/>
    <n v="19300"/>
    <n v="20988.98"/>
    <n v="5"/>
    <n v="5"/>
    <n v="0"/>
    <n v="-1688.9799999999996"/>
  </r>
  <r>
    <s v="TSK-0531"/>
    <s v="PRJ-1021"/>
    <x v="20"/>
    <x v="6"/>
    <s v="Process Improvement"/>
    <x v="2"/>
    <s v="Closeout"/>
    <s v="Closeout Task 18"/>
    <s v="Critical"/>
    <x v="0"/>
    <s v="Vertex Systems"/>
    <d v="2025-06-25T00:00:00"/>
    <d v="2025-07-22T00:00:00"/>
    <m/>
    <x v="2"/>
    <n v="0.4"/>
    <n v="41800"/>
    <n v="40596.21"/>
    <n v="4"/>
    <s v=""/>
    <n v="0"/>
    <n v="1203.7900000000009"/>
  </r>
  <r>
    <s v="TSK-0532"/>
    <s v="PRJ-1022"/>
    <x v="21"/>
    <x v="0"/>
    <s v="Facility Upgrade"/>
    <x v="3"/>
    <s v="Discovery"/>
    <s v="Discovery Task 18"/>
    <s v="Medium"/>
    <x v="0"/>
    <s v="Apex Solutions"/>
    <d v="2025-11-23T00:00:00"/>
    <d v="2025-12-09T00:00:00"/>
    <m/>
    <x v="2"/>
    <n v="0.25"/>
    <n v="27900"/>
    <n v="27901.93"/>
    <n v="2"/>
    <s v=""/>
    <n v="0"/>
    <n v="-1.930000000000291"/>
  </r>
  <r>
    <s v="TSK-0533"/>
    <s v="PRJ-1023"/>
    <x v="22"/>
    <x v="1"/>
    <s v="Compliance"/>
    <x v="4"/>
    <s v="Planning"/>
    <s v="Planning Task 18"/>
    <s v="Medium"/>
    <x v="1"/>
    <s v="Northstar Consulting"/>
    <d v="2026-03-27T00:00:00"/>
    <d v="2026-04-15T00:00:00"/>
    <d v="2026-04-07T00:00:00"/>
    <x v="0"/>
    <n v="1"/>
    <n v="32100"/>
    <n v="35996.54"/>
    <n v="3"/>
    <n v="0"/>
    <n v="0"/>
    <n v="-3896.5400000000009"/>
  </r>
  <r>
    <s v="TSK-0534"/>
    <s v="PRJ-1024"/>
    <x v="23"/>
    <x v="2"/>
    <s v="Vendor Transition"/>
    <x v="5"/>
    <s v="Requirements"/>
    <s v="Requirements Task 18"/>
    <s v="Medium"/>
    <x v="1"/>
    <s v="Summit Partners"/>
    <d v="2025-03-22T00:00:00"/>
    <d v="2025-04-10T00:00:00"/>
    <d v="2025-04-14T00:00:00"/>
    <x v="0"/>
    <n v="1"/>
    <n v="18400"/>
    <n v="19629.91"/>
    <n v="3"/>
    <n v="4"/>
    <n v="0"/>
    <n v="-1229.9099999999999"/>
  </r>
  <r>
    <s v="TSK-0535"/>
    <s v="PRJ-1025"/>
    <x v="24"/>
    <x v="3"/>
    <s v="System Implementation"/>
    <x v="0"/>
    <s v="Configuration"/>
    <s v="Configuration Task 18"/>
    <s v="Medium"/>
    <x v="0"/>
    <s v="Summit Partners"/>
    <d v="2026-01-01T00:00:00"/>
    <d v="2026-01-18T00:00:00"/>
    <m/>
    <x v="3"/>
    <n v="0"/>
    <n v="14300"/>
    <n v="0"/>
    <n v="3"/>
    <s v=""/>
    <n v="0"/>
    <n v="14300"/>
  </r>
  <r>
    <s v="TSK-0536"/>
    <s v="PRJ-1026"/>
    <x v="25"/>
    <x v="4"/>
    <s v="Cost Reduction"/>
    <x v="1"/>
    <s v="Execution"/>
    <s v="Execution Task 18"/>
    <s v="Critical"/>
    <x v="0"/>
    <s v="Northstar Consulting"/>
    <d v="2025-05-10T00:00:00"/>
    <d v="2025-06-05T00:00:00"/>
    <d v="2025-06-02T00:00:00"/>
    <x v="0"/>
    <n v="1"/>
    <n v="9300"/>
    <n v="7622.28"/>
    <n v="0"/>
    <n v="0"/>
    <n v="0"/>
    <n v="1677.7200000000003"/>
  </r>
  <r>
    <s v="TSK-0537"/>
    <s v="PRJ-1027"/>
    <x v="26"/>
    <x v="5"/>
    <s v="Automation"/>
    <x v="2"/>
    <s v="Testing"/>
    <s v="Testing Task 18"/>
    <s v="Medium"/>
    <x v="0"/>
    <s v="Internal Team"/>
    <d v="2026-01-13T00:00:00"/>
    <d v="2026-01-21T00:00:00"/>
    <m/>
    <x v="2"/>
    <n v="0.85"/>
    <n v="40500"/>
    <n v="42742.96"/>
    <n v="1"/>
    <s v=""/>
    <n v="0"/>
    <n v="-2242.9599999999991"/>
  </r>
  <r>
    <s v="TSK-0538"/>
    <s v="PRJ-1028"/>
    <x v="27"/>
    <x v="6"/>
    <s v="Process Improvement"/>
    <x v="3"/>
    <s v="Training"/>
    <s v="Training Task 18"/>
    <s v="Medium"/>
    <x v="2"/>
    <s v="Vertex Systems"/>
    <d v="2026-01-14T00:00:00"/>
    <d v="2026-02-08T00:00:00"/>
    <d v="2026-02-19T00:00:00"/>
    <x v="0"/>
    <n v="1"/>
    <n v="29100"/>
    <n v="32398.21"/>
    <n v="3"/>
    <n v="11"/>
    <n v="0"/>
    <n v="-3298.2099999999991"/>
  </r>
  <r>
    <s v="TSK-0539"/>
    <s v="PRJ-1029"/>
    <x v="28"/>
    <x v="0"/>
    <s v="Facility Upgrade"/>
    <x v="4"/>
    <s v="Launch"/>
    <s v="Launch Task 18"/>
    <s v="High"/>
    <x v="1"/>
    <s v="Northstar Consulting"/>
    <d v="2026-02-09T00:00:00"/>
    <d v="2026-02-24T00:00:00"/>
    <d v="2026-03-04T00:00:00"/>
    <x v="0"/>
    <n v="1"/>
    <n v="3400"/>
    <n v="3799.16"/>
    <n v="4"/>
    <n v="8"/>
    <n v="0"/>
    <n v="-399.15999999999985"/>
  </r>
  <r>
    <s v="TSK-0540"/>
    <s v="PRJ-1030"/>
    <x v="29"/>
    <x v="1"/>
    <s v="Compliance"/>
    <x v="5"/>
    <s v="Discovery"/>
    <s v="Discovery Task 18"/>
    <s v="High"/>
    <x v="1"/>
    <s v="Internal Team"/>
    <d v="2025-11-18T00:00:00"/>
    <d v="2025-11-26T00:00:00"/>
    <d v="2025-12-04T00:00:00"/>
    <x v="0"/>
    <n v="1"/>
    <n v="33300"/>
    <n v="36627.01"/>
    <n v="4"/>
    <n v="8"/>
    <n v="0"/>
    <n v="-3327.010000000002"/>
  </r>
  <r>
    <s v="TSK-0541"/>
    <s v="PRJ-1001"/>
    <x v="0"/>
    <x v="0"/>
    <s v="Facility Upgrade"/>
    <x v="0"/>
    <s v="Planning"/>
    <s v="Planning Task 19"/>
    <s v="Medium"/>
    <x v="1"/>
    <s v="BluePeak Services"/>
    <d v="2025-11-29T00:00:00"/>
    <d v="2025-12-21T00:00:00"/>
    <d v="2025-12-22T00:00:00"/>
    <x v="0"/>
    <n v="1"/>
    <n v="2000"/>
    <n v="1881.51"/>
    <n v="3"/>
    <n v="1"/>
    <n v="0"/>
    <n v="118.49000000000001"/>
  </r>
  <r>
    <s v="TSK-0542"/>
    <s v="PRJ-1002"/>
    <x v="1"/>
    <x v="1"/>
    <s v="Compliance"/>
    <x v="1"/>
    <s v="Requirements"/>
    <s v="Requirements Task 19"/>
    <s v="High"/>
    <x v="2"/>
    <s v="Apex Solutions"/>
    <d v="2025-04-28T00:00:00"/>
    <d v="2025-05-19T00:00:00"/>
    <d v="2025-05-14T00:00:00"/>
    <x v="0"/>
    <n v="1"/>
    <n v="27700"/>
    <n v="29197.09"/>
    <n v="4"/>
    <n v="0"/>
    <n v="0"/>
    <n v="-1497.0900000000001"/>
  </r>
  <r>
    <s v="TSK-0543"/>
    <s v="PRJ-1003"/>
    <x v="2"/>
    <x v="2"/>
    <s v="Vendor Transition"/>
    <x v="2"/>
    <s v="Configuration"/>
    <s v="Configuration Task 19"/>
    <s v="Medium"/>
    <x v="2"/>
    <s v="Summit Partners"/>
    <d v="2025-03-12T00:00:00"/>
    <d v="2025-03-16T00:00:00"/>
    <m/>
    <x v="0"/>
    <n v="0.25"/>
    <n v="29900"/>
    <n v="30778.84"/>
    <n v="4"/>
    <s v=""/>
    <n v="0"/>
    <n v="-878.84000000000015"/>
  </r>
  <r>
    <s v="TSK-0544"/>
    <s v="PRJ-1004"/>
    <x v="3"/>
    <x v="3"/>
    <s v="System Implementation"/>
    <x v="3"/>
    <s v="Execution"/>
    <s v="Execution Task 19"/>
    <s v="High"/>
    <x v="2"/>
    <s v="Internal Team"/>
    <d v="2026-02-11T00:00:00"/>
    <d v="2026-02-15T00:00:00"/>
    <m/>
    <x v="0"/>
    <n v="0"/>
    <n v="44700"/>
    <n v="0"/>
    <n v="2"/>
    <s v=""/>
    <n v="0"/>
    <n v="44700"/>
  </r>
  <r>
    <s v="TSK-0545"/>
    <s v="PRJ-1005"/>
    <x v="4"/>
    <x v="4"/>
    <s v="Cost Reduction"/>
    <x v="4"/>
    <s v="Testing"/>
    <s v="Testing Task 19"/>
    <s v="High"/>
    <x v="2"/>
    <s v="Northstar Consulting"/>
    <d v="2025-10-16T00:00:00"/>
    <d v="2025-10-24T00:00:00"/>
    <m/>
    <x v="0"/>
    <n v="0.65"/>
    <n v="17200"/>
    <n v="18857.73"/>
    <n v="4"/>
    <s v=""/>
    <n v="0"/>
    <n v="-1657.7299999999996"/>
  </r>
  <r>
    <s v="TSK-0546"/>
    <s v="PRJ-1006"/>
    <x v="5"/>
    <x v="5"/>
    <s v="Automation"/>
    <x v="5"/>
    <s v="Training"/>
    <s v="Training Task 19"/>
    <s v="Medium"/>
    <x v="1"/>
    <s v="Summit Partners"/>
    <d v="2025-08-28T00:00:00"/>
    <d v="2025-09-26T00:00:00"/>
    <d v="2025-10-01T00:00:00"/>
    <x v="0"/>
    <n v="1"/>
    <n v="14200"/>
    <n v="16790.18"/>
    <n v="4"/>
    <n v="5"/>
    <n v="0"/>
    <n v="-2590.1800000000003"/>
  </r>
  <r>
    <s v="TSK-0547"/>
    <s v="PRJ-1007"/>
    <x v="6"/>
    <x v="6"/>
    <s v="Process Improvement"/>
    <x v="0"/>
    <s v="Launch"/>
    <s v="Launch Task 19"/>
    <s v="Medium"/>
    <x v="2"/>
    <s v="Apex Solutions"/>
    <d v="2025-06-22T00:00:00"/>
    <d v="2025-07-14T00:00:00"/>
    <m/>
    <x v="0"/>
    <n v="0"/>
    <n v="26400"/>
    <n v="0"/>
    <n v="1"/>
    <s v=""/>
    <n v="0"/>
    <n v="26400"/>
  </r>
  <r>
    <s v="TSK-0548"/>
    <s v="PRJ-1008"/>
    <x v="7"/>
    <x v="0"/>
    <s v="Facility Upgrade"/>
    <x v="1"/>
    <s v="Closeout"/>
    <s v="Closeout Task 19"/>
    <s v="Low"/>
    <x v="2"/>
    <s v="Northstar Consulting"/>
    <d v="2025-05-30T00:00:00"/>
    <d v="2025-06-15T00:00:00"/>
    <d v="2025-06-14T00:00:00"/>
    <x v="0"/>
    <n v="1"/>
    <n v="44800"/>
    <n v="51195.040000000001"/>
    <n v="1"/>
    <n v="0"/>
    <n v="0"/>
    <n v="-6395.0400000000009"/>
  </r>
  <r>
    <s v="TSK-0549"/>
    <s v="PRJ-1009"/>
    <x v="8"/>
    <x v="1"/>
    <s v="Compliance"/>
    <x v="2"/>
    <s v="Discovery"/>
    <s v="Discovery Task 19"/>
    <s v="Medium"/>
    <x v="0"/>
    <s v="Northstar Consulting"/>
    <d v="2026-05-24T00:00:00"/>
    <d v="2026-06-21T00:00:00"/>
    <m/>
    <x v="3"/>
    <n v="0"/>
    <n v="28000"/>
    <n v="0"/>
    <n v="0"/>
    <s v=""/>
    <n v="0"/>
    <n v="28000"/>
  </r>
  <r>
    <s v="TSK-0550"/>
    <s v="PRJ-1010"/>
    <x v="9"/>
    <x v="2"/>
    <s v="Vendor Transition"/>
    <x v="3"/>
    <s v="Planning"/>
    <s v="Planning Task 19"/>
    <s v="Low"/>
    <x v="0"/>
    <s v="Northstar Consulting"/>
    <d v="2025-03-29T00:00:00"/>
    <d v="2025-04-24T00:00:00"/>
    <d v="2025-04-07T00:00:00"/>
    <x v="0"/>
    <n v="1"/>
    <n v="36300"/>
    <n v="41154.400000000001"/>
    <n v="1"/>
    <n v="0"/>
    <n v="0"/>
    <n v="-4854.4000000000015"/>
  </r>
  <r>
    <s v="TSK-0551"/>
    <s v="PRJ-1011"/>
    <x v="10"/>
    <x v="3"/>
    <s v="System Implementation"/>
    <x v="4"/>
    <s v="Requirements"/>
    <s v="Requirements Task 19"/>
    <s v="Medium"/>
    <x v="2"/>
    <s v="Northstar Consulting"/>
    <d v="2025-12-20T00:00:00"/>
    <d v="2026-01-12T00:00:00"/>
    <m/>
    <x v="2"/>
    <n v="0.5"/>
    <n v="12600"/>
    <n v="13918.49"/>
    <n v="2"/>
    <s v=""/>
    <n v="0"/>
    <n v="-1318.4899999999998"/>
  </r>
  <r>
    <s v="TSK-0552"/>
    <s v="PRJ-1012"/>
    <x v="11"/>
    <x v="4"/>
    <s v="Cost Reduction"/>
    <x v="5"/>
    <s v="Configuration"/>
    <s v="Configuration Task 19"/>
    <s v="Medium"/>
    <x v="2"/>
    <s v="Internal Team"/>
    <d v="2026-04-15T00:00:00"/>
    <d v="2026-04-28T00:00:00"/>
    <m/>
    <x v="2"/>
    <n v="0.75"/>
    <n v="28300"/>
    <n v="30768.46"/>
    <n v="2"/>
    <s v=""/>
    <n v="0"/>
    <n v="-2468.4599999999991"/>
  </r>
  <r>
    <s v="TSK-0553"/>
    <s v="PRJ-1013"/>
    <x v="12"/>
    <x v="5"/>
    <s v="Automation"/>
    <x v="0"/>
    <s v="Execution"/>
    <s v="Execution Task 19"/>
    <s v="Medium"/>
    <x v="0"/>
    <s v="Vertex Systems"/>
    <d v="2026-02-10T00:00:00"/>
    <d v="2026-03-10T00:00:00"/>
    <m/>
    <x v="3"/>
    <n v="0"/>
    <n v="7400"/>
    <n v="0"/>
    <n v="2"/>
    <s v=""/>
    <n v="0"/>
    <n v="7400"/>
  </r>
  <r>
    <s v="TSK-0554"/>
    <s v="PRJ-1014"/>
    <x v="13"/>
    <x v="6"/>
    <s v="Process Improvement"/>
    <x v="1"/>
    <s v="Testing"/>
    <s v="Testing Task 19"/>
    <s v="High"/>
    <x v="1"/>
    <s v="Apex Solutions"/>
    <d v="2025-06-04T00:00:00"/>
    <d v="2025-06-30T00:00:00"/>
    <m/>
    <x v="3"/>
    <n v="0"/>
    <n v="24200"/>
    <n v="0"/>
    <n v="2"/>
    <s v=""/>
    <n v="0"/>
    <n v="24200"/>
  </r>
  <r>
    <s v="TSK-0555"/>
    <s v="PRJ-1015"/>
    <x v="14"/>
    <x v="0"/>
    <s v="Facility Upgrade"/>
    <x v="2"/>
    <s v="Training"/>
    <s v="Training Task 19"/>
    <s v="Medium"/>
    <x v="0"/>
    <s v="Northstar Consulting"/>
    <d v="2026-01-27T00:00:00"/>
    <d v="2026-02-24T00:00:00"/>
    <d v="2026-02-27T00:00:00"/>
    <x v="0"/>
    <n v="1"/>
    <n v="8000"/>
    <n v="7847.65"/>
    <n v="2"/>
    <n v="3"/>
    <n v="0"/>
    <n v="152.35000000000036"/>
  </r>
  <r>
    <s v="TSK-0556"/>
    <s v="PRJ-1016"/>
    <x v="15"/>
    <x v="1"/>
    <s v="Compliance"/>
    <x v="3"/>
    <s v="Launch"/>
    <s v="Launch Task 19"/>
    <s v="Medium"/>
    <x v="2"/>
    <s v="Internal Team"/>
    <d v="2025-11-17T00:00:00"/>
    <d v="2025-11-25T00:00:00"/>
    <d v="2025-11-22T00:00:00"/>
    <x v="0"/>
    <n v="1"/>
    <n v="39100"/>
    <n v="39947.06"/>
    <n v="0"/>
    <n v="0"/>
    <n v="0"/>
    <n v="-847.05999999999767"/>
  </r>
  <r>
    <s v="TSK-0557"/>
    <s v="PRJ-1017"/>
    <x v="16"/>
    <x v="2"/>
    <s v="Vendor Transition"/>
    <x v="4"/>
    <s v="Closeout"/>
    <s v="Closeout Task 19"/>
    <s v="Medium"/>
    <x v="0"/>
    <s v="Internal Team"/>
    <d v="2025-05-29T00:00:00"/>
    <d v="2025-06-08T00:00:00"/>
    <m/>
    <x v="2"/>
    <n v="0.9"/>
    <n v="42900"/>
    <n v="44603.47"/>
    <n v="2"/>
    <s v=""/>
    <n v="0"/>
    <n v="-1703.4700000000012"/>
  </r>
  <r>
    <s v="TSK-0558"/>
    <s v="PRJ-1018"/>
    <x v="17"/>
    <x v="3"/>
    <s v="System Implementation"/>
    <x v="5"/>
    <s v="Discovery"/>
    <s v="Discovery Task 19"/>
    <s v="Low"/>
    <x v="2"/>
    <s v="Vertex Systems"/>
    <d v="2025-02-13T00:00:00"/>
    <d v="2025-03-02T00:00:00"/>
    <d v="2025-03-09T00:00:00"/>
    <x v="0"/>
    <n v="1"/>
    <n v="8200"/>
    <n v="6499.2"/>
    <n v="1"/>
    <n v="7"/>
    <n v="0"/>
    <n v="1700.8000000000002"/>
  </r>
  <r>
    <s v="TSK-0559"/>
    <s v="PRJ-1019"/>
    <x v="18"/>
    <x v="4"/>
    <s v="Cost Reduction"/>
    <x v="0"/>
    <s v="Planning"/>
    <s v="Planning Task 19"/>
    <s v="High"/>
    <x v="0"/>
    <s v="Internal Team"/>
    <d v="2025-03-19T00:00:00"/>
    <d v="2025-04-17T00:00:00"/>
    <m/>
    <x v="1"/>
    <n v="0.65"/>
    <n v="30900"/>
    <n v="34815.269999999997"/>
    <n v="3"/>
    <s v=""/>
    <n v="0"/>
    <n v="-3915.2699999999968"/>
  </r>
  <r>
    <s v="TSK-0560"/>
    <s v="PRJ-1020"/>
    <x v="19"/>
    <x v="5"/>
    <s v="Automation"/>
    <x v="1"/>
    <s v="Requirements"/>
    <s v="Requirements Task 19"/>
    <s v="Medium"/>
    <x v="2"/>
    <s v="Apex Solutions"/>
    <d v="2025-04-28T00:00:00"/>
    <d v="2025-05-10T00:00:00"/>
    <d v="2025-05-20T00:00:00"/>
    <x v="0"/>
    <n v="1"/>
    <n v="31400"/>
    <n v="30804.89"/>
    <n v="1"/>
    <n v="10"/>
    <n v="0"/>
    <n v="595.11000000000058"/>
  </r>
  <r>
    <s v="TSK-0561"/>
    <s v="PRJ-1021"/>
    <x v="20"/>
    <x v="6"/>
    <s v="Process Improvement"/>
    <x v="2"/>
    <s v="Configuration"/>
    <s v="Configuration Task 19"/>
    <s v="Medium"/>
    <x v="0"/>
    <s v="Apex Solutions"/>
    <d v="2025-07-23T00:00:00"/>
    <d v="2025-07-26T00:00:00"/>
    <d v="2025-07-22T00:00:00"/>
    <x v="0"/>
    <n v="1"/>
    <n v="15500"/>
    <n v="19137.400000000001"/>
    <n v="2"/>
    <n v="0"/>
    <n v="0"/>
    <n v="-3637.4000000000015"/>
  </r>
  <r>
    <s v="TSK-0562"/>
    <s v="PRJ-1022"/>
    <x v="21"/>
    <x v="0"/>
    <s v="Facility Upgrade"/>
    <x v="3"/>
    <s v="Execution"/>
    <s v="Execution Task 19"/>
    <s v="Medium"/>
    <x v="0"/>
    <s v="Internal Team"/>
    <d v="2025-10-29T00:00:00"/>
    <d v="2025-11-06T00:00:00"/>
    <m/>
    <x v="2"/>
    <n v="0.25"/>
    <n v="43200"/>
    <n v="47641.96"/>
    <n v="1"/>
    <s v=""/>
    <n v="0"/>
    <n v="-4441.9599999999991"/>
  </r>
  <r>
    <s v="TSK-0563"/>
    <s v="PRJ-1023"/>
    <x v="22"/>
    <x v="1"/>
    <s v="Compliance"/>
    <x v="4"/>
    <s v="Testing"/>
    <s v="Testing Task 19"/>
    <s v="Medium"/>
    <x v="2"/>
    <s v="Internal Team"/>
    <d v="2026-01-21T00:00:00"/>
    <d v="2026-02-11T00:00:00"/>
    <m/>
    <x v="2"/>
    <n v="0.25"/>
    <n v="15000"/>
    <n v="15019.38"/>
    <n v="3"/>
    <s v=""/>
    <n v="0"/>
    <n v="-19.3799999999992"/>
  </r>
  <r>
    <s v="TSK-0564"/>
    <s v="PRJ-1024"/>
    <x v="23"/>
    <x v="2"/>
    <s v="Vendor Transition"/>
    <x v="5"/>
    <s v="Training"/>
    <s v="Training Task 19"/>
    <s v="Low"/>
    <x v="0"/>
    <s v="BluePeak Services"/>
    <d v="2025-01-31T00:00:00"/>
    <d v="2025-02-06T00:00:00"/>
    <m/>
    <x v="2"/>
    <n v="0.25"/>
    <n v="20100"/>
    <n v="18774.349999999999"/>
    <n v="2"/>
    <s v=""/>
    <n v="0"/>
    <n v="1325.6500000000015"/>
  </r>
  <r>
    <s v="TSK-0565"/>
    <s v="PRJ-1025"/>
    <x v="24"/>
    <x v="3"/>
    <s v="System Implementation"/>
    <x v="0"/>
    <s v="Launch"/>
    <s v="Launch Task 19"/>
    <s v="High"/>
    <x v="2"/>
    <s v="Vertex Systems"/>
    <d v="2026-01-19T00:00:00"/>
    <d v="2026-01-31T00:00:00"/>
    <m/>
    <x v="2"/>
    <n v="0.4"/>
    <n v="32500"/>
    <n v="37492.68"/>
    <n v="1"/>
    <s v=""/>
    <n v="0"/>
    <n v="-4992.68"/>
  </r>
  <r>
    <s v="TSK-0566"/>
    <s v="PRJ-1026"/>
    <x v="25"/>
    <x v="4"/>
    <s v="Cost Reduction"/>
    <x v="1"/>
    <s v="Closeout"/>
    <s v="Closeout Task 19"/>
    <s v="Critical"/>
    <x v="2"/>
    <s v="Apex Solutions"/>
    <d v="2025-05-20T00:00:00"/>
    <d v="2025-05-25T00:00:00"/>
    <d v="2025-05-19T00:00:00"/>
    <x v="0"/>
    <n v="1"/>
    <n v="41500"/>
    <n v="37395.57"/>
    <n v="2"/>
    <n v="0"/>
    <n v="0"/>
    <n v="4104.43"/>
  </r>
  <r>
    <s v="TSK-0567"/>
    <s v="PRJ-1027"/>
    <x v="26"/>
    <x v="5"/>
    <s v="Automation"/>
    <x v="2"/>
    <s v="Discovery"/>
    <s v="Discovery Task 19"/>
    <s v="High"/>
    <x v="2"/>
    <s v="Apex Solutions"/>
    <d v="2026-03-07T00:00:00"/>
    <d v="2026-03-17T00:00:00"/>
    <m/>
    <x v="3"/>
    <n v="0"/>
    <n v="40500"/>
    <n v="0"/>
    <n v="3"/>
    <s v=""/>
    <n v="0"/>
    <n v="40500"/>
  </r>
  <r>
    <s v="TSK-0568"/>
    <s v="PRJ-1028"/>
    <x v="27"/>
    <x v="6"/>
    <s v="Process Improvement"/>
    <x v="3"/>
    <s v="Planning"/>
    <s v="Planning Task 19"/>
    <s v="Medium"/>
    <x v="1"/>
    <s v="Internal Team"/>
    <d v="2026-02-25T00:00:00"/>
    <d v="2026-03-14T00:00:00"/>
    <d v="2026-03-19T00:00:00"/>
    <x v="0"/>
    <n v="1"/>
    <n v="22300"/>
    <n v="24340.36"/>
    <n v="4"/>
    <n v="5"/>
    <n v="0"/>
    <n v="-2040.3600000000006"/>
  </r>
  <r>
    <s v="TSK-0569"/>
    <s v="PRJ-1029"/>
    <x v="28"/>
    <x v="0"/>
    <s v="Facility Upgrade"/>
    <x v="4"/>
    <s v="Requirements"/>
    <s v="Requirements Task 19"/>
    <s v="Medium"/>
    <x v="2"/>
    <s v="Apex Solutions"/>
    <d v="2026-04-13T00:00:00"/>
    <d v="2026-05-12T00:00:00"/>
    <d v="2026-05-09T00:00:00"/>
    <x v="0"/>
    <n v="1"/>
    <n v="6200"/>
    <n v="6078.51"/>
    <n v="2"/>
    <n v="0"/>
    <n v="0"/>
    <n v="121.48999999999978"/>
  </r>
  <r>
    <s v="TSK-0570"/>
    <s v="PRJ-1030"/>
    <x v="29"/>
    <x v="1"/>
    <s v="Compliance"/>
    <x v="5"/>
    <s v="Execution"/>
    <s v="Execution Task 19"/>
    <s v="Medium"/>
    <x v="0"/>
    <s v="Northstar Consulting"/>
    <d v="2025-12-12T00:00:00"/>
    <d v="2026-01-03T00:00:00"/>
    <m/>
    <x v="2"/>
    <n v="0.4"/>
    <n v="43900"/>
    <n v="41493.360000000001"/>
    <n v="2"/>
    <s v=""/>
    <n v="0"/>
    <n v="2406.6399999999994"/>
  </r>
  <r>
    <s v="TSK-0571"/>
    <s v="PRJ-1001"/>
    <x v="0"/>
    <x v="0"/>
    <s v="Facility Upgrade"/>
    <x v="0"/>
    <s v="Testing"/>
    <s v="Testing Task 20"/>
    <s v="High"/>
    <x v="2"/>
    <s v="Vertex Systems"/>
    <d v="2026-03-20T00:00:00"/>
    <d v="2026-04-10T00:00:00"/>
    <d v="2026-04-07T00:00:00"/>
    <x v="0"/>
    <n v="1"/>
    <n v="30300"/>
    <n v="30230.44"/>
    <n v="4"/>
    <n v="0"/>
    <n v="0"/>
    <n v="69.56000000000131"/>
  </r>
  <r>
    <s v="TSK-0572"/>
    <s v="PRJ-1002"/>
    <x v="1"/>
    <x v="1"/>
    <s v="Compliance"/>
    <x v="1"/>
    <s v="Training"/>
    <s v="Training Task 20"/>
    <s v="High"/>
    <x v="0"/>
    <s v="Northstar Consulting"/>
    <d v="2025-06-30T00:00:00"/>
    <d v="2025-07-13T00:00:00"/>
    <d v="2025-07-23T00:00:00"/>
    <x v="0"/>
    <n v="1"/>
    <n v="37300"/>
    <n v="42632.27"/>
    <n v="4"/>
    <n v="10"/>
    <n v="0"/>
    <n v="-5332.2699999999968"/>
  </r>
  <r>
    <s v="TSK-0573"/>
    <s v="PRJ-1003"/>
    <x v="2"/>
    <x v="2"/>
    <s v="Vendor Transition"/>
    <x v="2"/>
    <s v="Launch"/>
    <s v="Launch Task 20"/>
    <s v="Low"/>
    <x v="0"/>
    <s v="Summit Partners"/>
    <d v="2025-04-25T00:00:00"/>
    <d v="2025-05-08T00:00:00"/>
    <d v="2025-05-08T00:00:00"/>
    <x v="0"/>
    <n v="1"/>
    <n v="37000"/>
    <n v="36241.93"/>
    <n v="3"/>
    <n v="0"/>
    <n v="0"/>
    <n v="758.06999999999971"/>
  </r>
  <r>
    <s v="TSK-0574"/>
    <s v="PRJ-1004"/>
    <x v="3"/>
    <x v="3"/>
    <s v="System Implementation"/>
    <x v="3"/>
    <s v="Closeout"/>
    <s v="Closeout Task 20"/>
    <s v="High"/>
    <x v="0"/>
    <s v="Internal Team"/>
    <d v="2026-02-27T00:00:00"/>
    <d v="2026-03-16T00:00:00"/>
    <d v="2026-03-08T00:00:00"/>
    <x v="0"/>
    <n v="1"/>
    <n v="18500"/>
    <n v="17684.88"/>
    <n v="1"/>
    <n v="0"/>
    <n v="0"/>
    <n v="815.11999999999898"/>
  </r>
  <r>
    <s v="TSK-0575"/>
    <s v="PRJ-1005"/>
    <x v="4"/>
    <x v="4"/>
    <s v="Cost Reduction"/>
    <x v="4"/>
    <s v="Discovery"/>
    <s v="Discovery Task 20"/>
    <s v="High"/>
    <x v="0"/>
    <s v="Northstar Consulting"/>
    <d v="2025-08-11T00:00:00"/>
    <d v="2025-08-27T00:00:00"/>
    <d v="2025-09-16T00:00:00"/>
    <x v="0"/>
    <n v="1"/>
    <n v="26800"/>
    <n v="22772.97"/>
    <n v="0"/>
    <n v="20"/>
    <n v="0"/>
    <n v="4027.0299999999988"/>
  </r>
  <r>
    <s v="TSK-0576"/>
    <s v="PRJ-1006"/>
    <x v="5"/>
    <x v="5"/>
    <s v="Automation"/>
    <x v="5"/>
    <s v="Planning"/>
    <s v="Planning Task 20"/>
    <s v="High"/>
    <x v="1"/>
    <s v="Internal Team"/>
    <d v="2025-09-28T00:00:00"/>
    <d v="2025-10-02T00:00:00"/>
    <m/>
    <x v="0"/>
    <n v="0"/>
    <n v="25900"/>
    <n v="0"/>
    <n v="4"/>
    <s v=""/>
    <n v="0"/>
    <n v="25900"/>
  </r>
  <r>
    <s v="TSK-0577"/>
    <s v="PRJ-1007"/>
    <x v="6"/>
    <x v="6"/>
    <s v="Process Improvement"/>
    <x v="0"/>
    <s v="Requirements"/>
    <s v="Requirements Task 20"/>
    <s v="Medium"/>
    <x v="0"/>
    <s v="Internal Team"/>
    <d v="2025-08-08T00:00:00"/>
    <d v="2025-08-31T00:00:00"/>
    <m/>
    <x v="0"/>
    <n v="0.6"/>
    <n v="19200"/>
    <n v="19448.12"/>
    <n v="0"/>
    <s v=""/>
    <n v="0"/>
    <n v="-248.11999999999898"/>
  </r>
  <r>
    <s v="TSK-0578"/>
    <s v="PRJ-1008"/>
    <x v="7"/>
    <x v="0"/>
    <s v="Facility Upgrade"/>
    <x v="1"/>
    <s v="Configuration"/>
    <s v="Configuration Task 20"/>
    <s v="Medium"/>
    <x v="0"/>
    <s v="Apex Solutions"/>
    <d v="2025-06-18T00:00:00"/>
    <d v="2025-07-17T00:00:00"/>
    <m/>
    <x v="0"/>
    <n v="0.5"/>
    <n v="44900"/>
    <n v="47145.48"/>
    <n v="1"/>
    <s v=""/>
    <n v="0"/>
    <n v="-2245.4800000000032"/>
  </r>
  <r>
    <s v="TSK-0579"/>
    <s v="PRJ-1009"/>
    <x v="8"/>
    <x v="1"/>
    <s v="Compliance"/>
    <x v="2"/>
    <s v="Execution"/>
    <s v="Execution Task 20"/>
    <s v="Low"/>
    <x v="0"/>
    <s v="Vertex Systems"/>
    <d v="2026-05-22T00:00:00"/>
    <d v="2026-06-15T00:00:00"/>
    <m/>
    <x v="2"/>
    <n v="0.4"/>
    <n v="5200"/>
    <n v="5034.76"/>
    <n v="0"/>
    <s v=""/>
    <n v="0"/>
    <n v="165.23999999999978"/>
  </r>
  <r>
    <s v="TSK-0580"/>
    <s v="PRJ-1010"/>
    <x v="9"/>
    <x v="2"/>
    <s v="Vendor Transition"/>
    <x v="3"/>
    <s v="Testing"/>
    <s v="Testing Task 20"/>
    <s v="Medium"/>
    <x v="2"/>
    <s v="Northstar Consulting"/>
    <d v="2025-06-15T00:00:00"/>
    <d v="2025-07-07T00:00:00"/>
    <m/>
    <x v="3"/>
    <n v="0"/>
    <n v="23700"/>
    <n v="0"/>
    <n v="0"/>
    <s v=""/>
    <n v="0"/>
    <n v="23700"/>
  </r>
  <r>
    <s v="TSK-0581"/>
    <s v="PRJ-1011"/>
    <x v="10"/>
    <x v="3"/>
    <s v="System Implementation"/>
    <x v="4"/>
    <s v="Training"/>
    <s v="Training Task 20"/>
    <s v="Medium"/>
    <x v="0"/>
    <s v="Northstar Consulting"/>
    <d v="2026-05-14T00:00:00"/>
    <d v="2026-06-01T00:00:00"/>
    <d v="2026-06-01T00:00:00"/>
    <x v="0"/>
    <n v="1"/>
    <n v="11800"/>
    <n v="10700.9"/>
    <n v="1"/>
    <n v="0"/>
    <n v="0"/>
    <n v="1099.1000000000004"/>
  </r>
  <r>
    <s v="TSK-0582"/>
    <s v="PRJ-1012"/>
    <x v="11"/>
    <x v="4"/>
    <s v="Cost Reduction"/>
    <x v="5"/>
    <s v="Launch"/>
    <s v="Launch Task 20"/>
    <s v="Medium"/>
    <x v="0"/>
    <s v="BluePeak Services"/>
    <d v="2026-06-14T00:00:00"/>
    <d v="2026-07-02T00:00:00"/>
    <d v="2026-07-10T00:00:00"/>
    <x v="0"/>
    <n v="1"/>
    <n v="31500"/>
    <n v="34721.9"/>
    <n v="3"/>
    <n v="8"/>
    <n v="0"/>
    <n v="-3221.9000000000015"/>
  </r>
  <r>
    <s v="TSK-0583"/>
    <s v="PRJ-1013"/>
    <x v="12"/>
    <x v="5"/>
    <s v="Automation"/>
    <x v="0"/>
    <s v="Closeout"/>
    <s v="Closeout Task 20"/>
    <s v="Critical"/>
    <x v="1"/>
    <s v="Vertex Systems"/>
    <d v="2026-02-08T00:00:00"/>
    <d v="2026-02-27T00:00:00"/>
    <m/>
    <x v="3"/>
    <n v="0"/>
    <n v="40200"/>
    <n v="0"/>
    <n v="4"/>
    <s v=""/>
    <n v="0"/>
    <n v="40200"/>
  </r>
  <r>
    <s v="TSK-0584"/>
    <s v="PRJ-1014"/>
    <x v="13"/>
    <x v="6"/>
    <s v="Process Improvement"/>
    <x v="1"/>
    <s v="Discovery"/>
    <s v="Discovery Task 20"/>
    <s v="High"/>
    <x v="1"/>
    <s v="Internal Team"/>
    <d v="2025-07-07T00:00:00"/>
    <d v="2025-08-04T00:00:00"/>
    <d v="2025-08-10T00:00:00"/>
    <x v="0"/>
    <n v="1"/>
    <n v="28200"/>
    <n v="33329.81"/>
    <n v="2"/>
    <n v="6"/>
    <n v="0"/>
    <n v="-5129.8099999999977"/>
  </r>
  <r>
    <s v="TSK-0585"/>
    <s v="PRJ-1015"/>
    <x v="14"/>
    <x v="0"/>
    <s v="Facility Upgrade"/>
    <x v="2"/>
    <s v="Planning"/>
    <s v="Planning Task 20"/>
    <s v="Low"/>
    <x v="0"/>
    <s v="BluePeak Services"/>
    <d v="2026-03-30T00:00:00"/>
    <d v="2026-04-25T00:00:00"/>
    <m/>
    <x v="2"/>
    <n v="0.5"/>
    <n v="43300"/>
    <n v="45340.31"/>
    <n v="0"/>
    <s v=""/>
    <n v="0"/>
    <n v="-2040.3099999999977"/>
  </r>
  <r>
    <s v="TSK-0586"/>
    <s v="PRJ-1016"/>
    <x v="15"/>
    <x v="1"/>
    <s v="Compliance"/>
    <x v="3"/>
    <s v="Requirements"/>
    <s v="Requirements Task 20"/>
    <s v="Low"/>
    <x v="1"/>
    <s v="Vertex Systems"/>
    <d v="2026-01-01T00:00:00"/>
    <d v="2026-01-12T00:00:00"/>
    <m/>
    <x v="3"/>
    <n v="0"/>
    <n v="22100"/>
    <n v="0"/>
    <n v="3"/>
    <s v=""/>
    <n v="0"/>
    <n v="22100"/>
  </r>
  <r>
    <s v="TSK-0587"/>
    <s v="PRJ-1017"/>
    <x v="16"/>
    <x v="2"/>
    <s v="Vendor Transition"/>
    <x v="4"/>
    <s v="Configuration"/>
    <s v="Configuration Task 20"/>
    <s v="Critical"/>
    <x v="2"/>
    <s v="Northstar Consulting"/>
    <d v="2025-04-05T00:00:00"/>
    <d v="2025-04-23T00:00:00"/>
    <m/>
    <x v="3"/>
    <n v="0"/>
    <n v="23500"/>
    <n v="0"/>
    <n v="1"/>
    <s v=""/>
    <n v="0"/>
    <n v="23500"/>
  </r>
  <r>
    <s v="TSK-0588"/>
    <s v="PRJ-1018"/>
    <x v="17"/>
    <x v="3"/>
    <s v="System Implementation"/>
    <x v="5"/>
    <s v="Execution"/>
    <s v="Execution Task 20"/>
    <s v="Medium"/>
    <x v="0"/>
    <s v="Summit Partners"/>
    <d v="2025-01-24T00:00:00"/>
    <d v="2025-02-19T00:00:00"/>
    <m/>
    <x v="3"/>
    <n v="0"/>
    <n v="9100"/>
    <n v="0"/>
    <n v="1"/>
    <s v=""/>
    <n v="0"/>
    <n v="9100"/>
  </r>
  <r>
    <s v="TSK-0589"/>
    <s v="PRJ-1019"/>
    <x v="18"/>
    <x v="4"/>
    <s v="Cost Reduction"/>
    <x v="0"/>
    <s v="Testing"/>
    <s v="Testing Task 20"/>
    <s v="Medium"/>
    <x v="2"/>
    <s v="Internal Team"/>
    <d v="2025-04-23T00:00:00"/>
    <d v="2025-05-11T00:00:00"/>
    <m/>
    <x v="2"/>
    <n v="0.75"/>
    <n v="39000"/>
    <n v="38787.61"/>
    <n v="2"/>
    <s v=""/>
    <n v="0"/>
    <n v="212.38999999999942"/>
  </r>
  <r>
    <s v="TSK-0590"/>
    <s v="PRJ-1020"/>
    <x v="19"/>
    <x v="5"/>
    <s v="Automation"/>
    <x v="1"/>
    <s v="Training"/>
    <s v="Training Task 20"/>
    <s v="Medium"/>
    <x v="1"/>
    <s v="Internal Team"/>
    <d v="2025-08-31T00:00:00"/>
    <d v="2025-09-27T00:00:00"/>
    <m/>
    <x v="1"/>
    <n v="0.5"/>
    <n v="11900"/>
    <n v="10998.19"/>
    <n v="4"/>
    <s v=""/>
    <n v="0"/>
    <n v="901.80999999999949"/>
  </r>
  <r>
    <s v="TSK-0591"/>
    <s v="PRJ-1021"/>
    <x v="20"/>
    <x v="6"/>
    <s v="Process Improvement"/>
    <x v="2"/>
    <s v="Launch"/>
    <s v="Launch Task 20"/>
    <s v="Medium"/>
    <x v="2"/>
    <s v="Internal Team"/>
    <d v="2025-07-11T00:00:00"/>
    <d v="2025-08-07T00:00:00"/>
    <d v="2025-08-16T00:00:00"/>
    <x v="0"/>
    <n v="1"/>
    <n v="22200"/>
    <n v="23527.79"/>
    <n v="0"/>
    <n v="9"/>
    <n v="0"/>
    <n v="-1327.7900000000009"/>
  </r>
  <r>
    <s v="TSK-0592"/>
    <s v="PRJ-1022"/>
    <x v="21"/>
    <x v="0"/>
    <s v="Facility Upgrade"/>
    <x v="3"/>
    <s v="Closeout"/>
    <s v="Closeout Task 20"/>
    <s v="Critical"/>
    <x v="0"/>
    <s v="Vertex Systems"/>
    <d v="2025-12-29T00:00:00"/>
    <d v="2026-01-16T00:00:00"/>
    <m/>
    <x v="2"/>
    <n v="0.75"/>
    <n v="39400"/>
    <n v="41755.06"/>
    <n v="4"/>
    <s v=""/>
    <n v="0"/>
    <n v="-2355.0599999999977"/>
  </r>
  <r>
    <s v="TSK-0593"/>
    <s v="PRJ-1023"/>
    <x v="22"/>
    <x v="1"/>
    <s v="Compliance"/>
    <x v="4"/>
    <s v="Discovery"/>
    <s v="Discovery Task 20"/>
    <s v="Medium"/>
    <x v="2"/>
    <s v="BluePeak Services"/>
    <d v="2025-11-20T00:00:00"/>
    <d v="2025-11-26T00:00:00"/>
    <d v="2025-11-29T00:00:00"/>
    <x v="0"/>
    <n v="1"/>
    <n v="29200"/>
    <n v="33070.57"/>
    <n v="1"/>
    <n v="3"/>
    <n v="0"/>
    <n v="-3870.5699999999997"/>
  </r>
  <r>
    <s v="TSK-0594"/>
    <s v="PRJ-1024"/>
    <x v="23"/>
    <x v="2"/>
    <s v="Vendor Transition"/>
    <x v="5"/>
    <s v="Planning"/>
    <s v="Planning Task 20"/>
    <s v="Critical"/>
    <x v="1"/>
    <s v="Internal Team"/>
    <d v="2025-03-28T00:00:00"/>
    <d v="2025-04-25T00:00:00"/>
    <m/>
    <x v="3"/>
    <n v="0"/>
    <n v="30000"/>
    <n v="0"/>
    <n v="4"/>
    <s v=""/>
    <n v="0"/>
    <n v="30000"/>
  </r>
  <r>
    <s v="TSK-0595"/>
    <s v="PRJ-1025"/>
    <x v="24"/>
    <x v="3"/>
    <s v="System Implementation"/>
    <x v="0"/>
    <s v="Requirements"/>
    <s v="Requirements Task 20"/>
    <s v="High"/>
    <x v="2"/>
    <s v="Northstar Consulting"/>
    <d v="2025-12-08T00:00:00"/>
    <d v="2025-12-27T00:00:00"/>
    <m/>
    <x v="2"/>
    <n v="0.85"/>
    <n v="44700"/>
    <n v="45316.38"/>
    <n v="2"/>
    <s v=""/>
    <n v="0"/>
    <n v="-616.37999999999738"/>
  </r>
  <r>
    <s v="TSK-0596"/>
    <s v="PRJ-1026"/>
    <x v="25"/>
    <x v="4"/>
    <s v="Cost Reduction"/>
    <x v="1"/>
    <s v="Configuration"/>
    <s v="Configuration Task 20"/>
    <s v="Low"/>
    <x v="0"/>
    <s v="Internal Team"/>
    <d v="2025-08-29T00:00:00"/>
    <d v="2025-09-04T00:00:00"/>
    <d v="2025-08-30T00:00:00"/>
    <x v="0"/>
    <n v="1"/>
    <n v="12500"/>
    <n v="14525.63"/>
    <n v="3"/>
    <n v="0"/>
    <n v="0"/>
    <n v="-2025.6299999999992"/>
  </r>
  <r>
    <s v="TSK-0597"/>
    <s v="PRJ-1027"/>
    <x v="26"/>
    <x v="5"/>
    <s v="Automation"/>
    <x v="2"/>
    <s v="Execution"/>
    <s v="Execution Task 20"/>
    <s v="Low"/>
    <x v="2"/>
    <s v="BluePeak Services"/>
    <d v="2026-03-03T00:00:00"/>
    <d v="2026-03-25T00:00:00"/>
    <d v="2026-03-29T00:00:00"/>
    <x v="0"/>
    <n v="1"/>
    <n v="32300"/>
    <n v="38049.769999999997"/>
    <n v="3"/>
    <n v="4"/>
    <n v="0"/>
    <n v="-5749.7699999999968"/>
  </r>
  <r>
    <s v="TSK-0598"/>
    <s v="PRJ-1028"/>
    <x v="27"/>
    <x v="6"/>
    <s v="Process Improvement"/>
    <x v="3"/>
    <s v="Testing"/>
    <s v="Testing Task 20"/>
    <s v="Medium"/>
    <x v="2"/>
    <s v="BluePeak Services"/>
    <d v="2026-04-27T00:00:00"/>
    <d v="2026-05-25T00:00:00"/>
    <m/>
    <x v="1"/>
    <n v="0.1"/>
    <n v="31800"/>
    <n v="32353.77"/>
    <n v="3"/>
    <s v=""/>
    <n v="0"/>
    <n v="-553.77000000000044"/>
  </r>
  <r>
    <s v="TSK-0599"/>
    <s v="PRJ-1029"/>
    <x v="28"/>
    <x v="0"/>
    <s v="Facility Upgrade"/>
    <x v="4"/>
    <s v="Training"/>
    <s v="Training Task 20"/>
    <s v="Critical"/>
    <x v="2"/>
    <s v="BluePeak Services"/>
    <d v="2026-03-11T00:00:00"/>
    <d v="2026-04-07T00:00:00"/>
    <m/>
    <x v="2"/>
    <n v="0.85"/>
    <n v="35000"/>
    <n v="34681.449999999997"/>
    <n v="2"/>
    <s v=""/>
    <n v="0"/>
    <n v="318.55000000000291"/>
  </r>
  <r>
    <s v="TSK-0600"/>
    <s v="PRJ-1030"/>
    <x v="29"/>
    <x v="1"/>
    <s v="Compliance"/>
    <x v="5"/>
    <s v="Closeout"/>
    <s v="Closeout Task 20"/>
    <s v="Low"/>
    <x v="2"/>
    <s v="Internal Team"/>
    <d v="2026-01-05T00:00:00"/>
    <d v="2026-01-09T00:00:00"/>
    <m/>
    <x v="2"/>
    <n v="0.9"/>
    <n v="13000"/>
    <n v="11710.99"/>
    <n v="2"/>
    <s v=""/>
    <n v="0"/>
    <n v="1289.0100000000002"/>
  </r>
  <r>
    <s v="TSK-0601"/>
    <s v="PRJ-1001"/>
    <x v="0"/>
    <x v="0"/>
    <s v="Facility Upgrade"/>
    <x v="0"/>
    <s v="Discovery"/>
    <s v="Discovery Task 21"/>
    <s v="Critical"/>
    <x v="2"/>
    <s v="Internal Team"/>
    <d v="2026-04-03T00:00:00"/>
    <d v="2026-04-09T00:00:00"/>
    <m/>
    <x v="0"/>
    <n v="0"/>
    <n v="34900"/>
    <n v="0"/>
    <n v="4"/>
    <s v=""/>
    <n v="0"/>
    <n v="34900"/>
  </r>
  <r>
    <s v="TSK-0602"/>
    <s v="PRJ-1002"/>
    <x v="1"/>
    <x v="1"/>
    <s v="Compliance"/>
    <x v="1"/>
    <s v="Planning"/>
    <s v="Planning Task 21"/>
    <s v="Critical"/>
    <x v="2"/>
    <s v="Internal Team"/>
    <d v="2025-03-22T00:00:00"/>
    <d v="2025-03-27T00:00:00"/>
    <d v="2025-03-29T00:00:00"/>
    <x v="0"/>
    <n v="1"/>
    <n v="40500"/>
    <n v="46150.879999999997"/>
    <n v="3"/>
    <n v="2"/>
    <n v="0"/>
    <n v="-5650.8799999999974"/>
  </r>
  <r>
    <s v="TSK-0603"/>
    <s v="PRJ-1003"/>
    <x v="2"/>
    <x v="2"/>
    <s v="Vendor Transition"/>
    <x v="2"/>
    <s v="Requirements"/>
    <s v="Requirements Task 21"/>
    <s v="Critical"/>
    <x v="2"/>
    <s v="Internal Team"/>
    <d v="2025-04-12T00:00:00"/>
    <d v="2025-04-27T00:00:00"/>
    <d v="2025-05-07T00:00:00"/>
    <x v="0"/>
    <n v="1"/>
    <n v="23900"/>
    <n v="27216.81"/>
    <n v="1"/>
    <n v="10"/>
    <n v="0"/>
    <n v="-3316.8100000000013"/>
  </r>
  <r>
    <s v="TSK-0604"/>
    <s v="PRJ-1004"/>
    <x v="3"/>
    <x v="3"/>
    <s v="System Implementation"/>
    <x v="3"/>
    <s v="Configuration"/>
    <s v="Configuration Task 21"/>
    <s v="Medium"/>
    <x v="2"/>
    <s v="Vertex Systems"/>
    <d v="2026-02-06T00:00:00"/>
    <d v="2026-02-26T00:00:00"/>
    <m/>
    <x v="0"/>
    <n v="0.6"/>
    <n v="43000"/>
    <n v="46107.57"/>
    <n v="0"/>
    <s v=""/>
    <n v="0"/>
    <n v="-3107.5699999999997"/>
  </r>
  <r>
    <s v="TSK-0605"/>
    <s v="PRJ-1005"/>
    <x v="4"/>
    <x v="4"/>
    <s v="Cost Reduction"/>
    <x v="4"/>
    <s v="Execution"/>
    <s v="Execution Task 21"/>
    <s v="Medium"/>
    <x v="1"/>
    <s v="Internal Team"/>
    <d v="2025-08-11T00:00:00"/>
    <d v="2025-08-26T00:00:00"/>
    <m/>
    <x v="0"/>
    <n v="0"/>
    <n v="44900"/>
    <n v="0"/>
    <n v="2"/>
    <s v=""/>
    <n v="0"/>
    <n v="44900"/>
  </r>
  <r>
    <s v="TSK-0606"/>
    <s v="PRJ-1006"/>
    <x v="5"/>
    <x v="5"/>
    <s v="Automation"/>
    <x v="5"/>
    <s v="Testing"/>
    <s v="Testing Task 21"/>
    <s v="High"/>
    <x v="0"/>
    <s v="Summit Partners"/>
    <d v="2025-07-24T00:00:00"/>
    <d v="2025-08-16T00:00:00"/>
    <m/>
    <x v="0"/>
    <n v="0.75"/>
    <n v="3200"/>
    <n v="3092.89"/>
    <n v="2"/>
    <s v=""/>
    <n v="0"/>
    <n v="107.11000000000013"/>
  </r>
  <r>
    <s v="TSK-0607"/>
    <s v="PRJ-1007"/>
    <x v="6"/>
    <x v="6"/>
    <s v="Process Improvement"/>
    <x v="0"/>
    <s v="Training"/>
    <s v="Training Task 21"/>
    <s v="High"/>
    <x v="1"/>
    <s v="Northstar Consulting"/>
    <d v="2025-07-30T00:00:00"/>
    <d v="2025-08-17T00:00:00"/>
    <m/>
    <x v="0"/>
    <n v="0"/>
    <n v="29000"/>
    <n v="0"/>
    <n v="2"/>
    <s v=""/>
    <n v="0"/>
    <n v="29000"/>
  </r>
  <r>
    <s v="TSK-0608"/>
    <s v="PRJ-1008"/>
    <x v="7"/>
    <x v="0"/>
    <s v="Facility Upgrade"/>
    <x v="1"/>
    <s v="Launch"/>
    <s v="Launch Task 21"/>
    <s v="Medium"/>
    <x v="2"/>
    <s v="Northstar Consulting"/>
    <d v="2025-07-21T00:00:00"/>
    <d v="2025-08-05T00:00:00"/>
    <m/>
    <x v="0"/>
    <n v="0"/>
    <n v="25000"/>
    <n v="0"/>
    <n v="3"/>
    <s v=""/>
    <n v="0"/>
    <n v="25000"/>
  </r>
  <r>
    <s v="TSK-0609"/>
    <s v="PRJ-1009"/>
    <x v="8"/>
    <x v="1"/>
    <s v="Compliance"/>
    <x v="2"/>
    <s v="Closeout"/>
    <s v="Closeout Task 21"/>
    <s v="High"/>
    <x v="0"/>
    <s v="BluePeak Services"/>
    <d v="2026-01-27T00:00:00"/>
    <d v="2026-02-09T00:00:00"/>
    <m/>
    <x v="3"/>
    <n v="0"/>
    <n v="35800"/>
    <n v="0"/>
    <n v="1"/>
    <s v=""/>
    <n v="0"/>
    <n v="35800"/>
  </r>
  <r>
    <s v="TSK-0610"/>
    <s v="PRJ-1010"/>
    <x v="9"/>
    <x v="2"/>
    <s v="Vendor Transition"/>
    <x v="3"/>
    <s v="Discovery"/>
    <s v="Discovery Task 21"/>
    <s v="High"/>
    <x v="2"/>
    <s v="Apex Solutions"/>
    <d v="2025-07-14T00:00:00"/>
    <d v="2025-07-21T00:00:00"/>
    <d v="2025-07-23T00:00:00"/>
    <x v="0"/>
    <n v="1"/>
    <n v="33500"/>
    <n v="35586.769999999997"/>
    <n v="1"/>
    <n v="2"/>
    <n v="0"/>
    <n v="-2086.7699999999968"/>
  </r>
  <r>
    <s v="TSK-0611"/>
    <s v="PRJ-1011"/>
    <x v="10"/>
    <x v="3"/>
    <s v="System Implementation"/>
    <x v="4"/>
    <s v="Planning"/>
    <s v="Planning Task 21"/>
    <s v="Critical"/>
    <x v="2"/>
    <s v="Internal Team"/>
    <d v="2026-01-20T00:00:00"/>
    <d v="2026-01-23T00:00:00"/>
    <m/>
    <x v="3"/>
    <n v="0"/>
    <n v="3700"/>
    <n v="0"/>
    <n v="1"/>
    <s v=""/>
    <n v="0"/>
    <n v="3700"/>
  </r>
  <r>
    <s v="TSK-0612"/>
    <s v="PRJ-1012"/>
    <x v="11"/>
    <x v="4"/>
    <s v="Cost Reduction"/>
    <x v="5"/>
    <s v="Requirements"/>
    <s v="Requirements Task 21"/>
    <s v="Medium"/>
    <x v="0"/>
    <s v="Northstar Consulting"/>
    <d v="2026-02-16T00:00:00"/>
    <d v="2026-02-22T00:00:00"/>
    <d v="2026-03-08T00:00:00"/>
    <x v="0"/>
    <n v="1"/>
    <n v="36300"/>
    <n v="38352.25"/>
    <n v="4"/>
    <n v="14"/>
    <n v="0"/>
    <n v="-2052.25"/>
  </r>
  <r>
    <s v="TSK-0613"/>
    <s v="PRJ-1013"/>
    <x v="12"/>
    <x v="5"/>
    <s v="Automation"/>
    <x v="0"/>
    <s v="Configuration"/>
    <s v="Configuration Task 21"/>
    <s v="Medium"/>
    <x v="2"/>
    <s v="BluePeak Services"/>
    <d v="2026-01-22T00:00:00"/>
    <d v="2026-02-04T00:00:00"/>
    <m/>
    <x v="3"/>
    <n v="0"/>
    <n v="31300"/>
    <n v="0"/>
    <n v="1"/>
    <s v=""/>
    <n v="0"/>
    <n v="31300"/>
  </r>
  <r>
    <s v="TSK-0614"/>
    <s v="PRJ-1014"/>
    <x v="13"/>
    <x v="6"/>
    <s v="Process Improvement"/>
    <x v="1"/>
    <s v="Execution"/>
    <s v="Execution Task 21"/>
    <s v="Critical"/>
    <x v="0"/>
    <s v="Internal Team"/>
    <d v="2025-04-04T00:00:00"/>
    <d v="2025-04-17T00:00:00"/>
    <m/>
    <x v="3"/>
    <n v="0"/>
    <n v="13400"/>
    <n v="0"/>
    <n v="0"/>
    <s v=""/>
    <n v="0"/>
    <n v="13400"/>
  </r>
  <r>
    <s v="TSK-0615"/>
    <s v="PRJ-1015"/>
    <x v="14"/>
    <x v="0"/>
    <s v="Facility Upgrade"/>
    <x v="2"/>
    <s v="Testing"/>
    <s v="Testing Task 21"/>
    <s v="Medium"/>
    <x v="0"/>
    <s v="Internal Team"/>
    <d v="2026-04-01T00:00:00"/>
    <d v="2026-04-05T00:00:00"/>
    <m/>
    <x v="3"/>
    <n v="0"/>
    <n v="35900"/>
    <n v="0"/>
    <n v="0"/>
    <s v=""/>
    <n v="0"/>
    <n v="35900"/>
  </r>
  <r>
    <s v="TSK-0616"/>
    <s v="PRJ-1016"/>
    <x v="15"/>
    <x v="1"/>
    <s v="Compliance"/>
    <x v="3"/>
    <s v="Training"/>
    <s v="Training Task 21"/>
    <s v="Medium"/>
    <x v="1"/>
    <s v="Internal Team"/>
    <d v="2025-08-11T00:00:00"/>
    <d v="2025-08-19T00:00:00"/>
    <d v="2025-08-18T00:00:00"/>
    <x v="0"/>
    <n v="1"/>
    <n v="13800"/>
    <n v="12803.35"/>
    <n v="2"/>
    <n v="0"/>
    <n v="0"/>
    <n v="996.64999999999964"/>
  </r>
  <r>
    <s v="TSK-0617"/>
    <s v="PRJ-1017"/>
    <x v="16"/>
    <x v="2"/>
    <s v="Vendor Transition"/>
    <x v="4"/>
    <s v="Launch"/>
    <s v="Launch Task 21"/>
    <s v="Medium"/>
    <x v="0"/>
    <s v="Internal Team"/>
    <d v="2025-04-01T00:00:00"/>
    <d v="2025-04-20T00:00:00"/>
    <m/>
    <x v="2"/>
    <n v="0.4"/>
    <n v="42300"/>
    <n v="35411.53"/>
    <n v="1"/>
    <s v=""/>
    <n v="0"/>
    <n v="6888.4700000000012"/>
  </r>
  <r>
    <s v="TSK-0618"/>
    <s v="PRJ-1018"/>
    <x v="17"/>
    <x v="3"/>
    <s v="System Implementation"/>
    <x v="5"/>
    <s v="Closeout"/>
    <s v="Closeout Task 21"/>
    <s v="Medium"/>
    <x v="0"/>
    <s v="BluePeak Services"/>
    <d v="2025-04-08T00:00:00"/>
    <d v="2025-04-22T00:00:00"/>
    <m/>
    <x v="2"/>
    <n v="0.75"/>
    <n v="11800"/>
    <n v="11805.93"/>
    <n v="2"/>
    <s v=""/>
    <n v="0"/>
    <n v="-5.930000000000291"/>
  </r>
  <r>
    <s v="TSK-0619"/>
    <s v="PRJ-1019"/>
    <x v="18"/>
    <x v="4"/>
    <s v="Cost Reduction"/>
    <x v="0"/>
    <s v="Discovery"/>
    <s v="Discovery Task 21"/>
    <s v="Low"/>
    <x v="0"/>
    <s v="Vertex Systems"/>
    <d v="2025-07-10T00:00:00"/>
    <d v="2025-07-29T00:00:00"/>
    <m/>
    <x v="2"/>
    <n v="0.9"/>
    <n v="28800"/>
    <n v="31996.89"/>
    <n v="1"/>
    <s v=""/>
    <n v="0"/>
    <n v="-3196.8899999999994"/>
  </r>
  <r>
    <s v="TSK-0620"/>
    <s v="PRJ-1020"/>
    <x v="19"/>
    <x v="5"/>
    <s v="Automation"/>
    <x v="1"/>
    <s v="Planning"/>
    <s v="Planning Task 21"/>
    <s v="Low"/>
    <x v="0"/>
    <s v="Summit Partners"/>
    <d v="2025-08-26T00:00:00"/>
    <d v="2025-09-13T00:00:00"/>
    <m/>
    <x v="3"/>
    <n v="0"/>
    <n v="30700"/>
    <n v="0"/>
    <n v="3"/>
    <s v=""/>
    <n v="0"/>
    <n v="30700"/>
  </r>
  <r>
    <s v="TSK-0621"/>
    <s v="PRJ-1021"/>
    <x v="20"/>
    <x v="6"/>
    <s v="Process Improvement"/>
    <x v="2"/>
    <s v="Requirements"/>
    <s v="Requirements Task 21"/>
    <s v="Medium"/>
    <x v="0"/>
    <s v="Internal Team"/>
    <d v="2025-08-29T00:00:00"/>
    <d v="2025-09-02T00:00:00"/>
    <m/>
    <x v="3"/>
    <n v="0"/>
    <n v="3800"/>
    <n v="0"/>
    <n v="0"/>
    <s v=""/>
    <n v="0"/>
    <n v="3800"/>
  </r>
  <r>
    <s v="TSK-0622"/>
    <s v="PRJ-1022"/>
    <x v="21"/>
    <x v="0"/>
    <s v="Facility Upgrade"/>
    <x v="3"/>
    <s v="Configuration"/>
    <s v="Configuration Task 21"/>
    <s v="Low"/>
    <x v="0"/>
    <s v="Internal Team"/>
    <d v="2025-11-20T00:00:00"/>
    <d v="2025-12-16T00:00:00"/>
    <m/>
    <x v="2"/>
    <n v="0.75"/>
    <n v="15700"/>
    <n v="15778.38"/>
    <n v="2"/>
    <s v=""/>
    <n v="0"/>
    <n v="-78.3799999999992"/>
  </r>
  <r>
    <s v="TSK-0623"/>
    <s v="PRJ-1023"/>
    <x v="22"/>
    <x v="1"/>
    <s v="Compliance"/>
    <x v="4"/>
    <s v="Execution"/>
    <s v="Execution Task 21"/>
    <s v="Medium"/>
    <x v="2"/>
    <s v="Internal Team"/>
    <d v="2025-12-05T00:00:00"/>
    <d v="2025-12-15T00:00:00"/>
    <d v="2025-12-27T00:00:00"/>
    <x v="0"/>
    <n v="1"/>
    <n v="39300"/>
    <n v="37920.269999999997"/>
    <n v="2"/>
    <n v="12"/>
    <n v="0"/>
    <n v="1379.7300000000032"/>
  </r>
  <r>
    <s v="TSK-0624"/>
    <s v="PRJ-1024"/>
    <x v="23"/>
    <x v="2"/>
    <s v="Vendor Transition"/>
    <x v="5"/>
    <s v="Testing"/>
    <s v="Testing Task 21"/>
    <s v="Medium"/>
    <x v="0"/>
    <s v="BluePeak Services"/>
    <d v="2025-02-25T00:00:00"/>
    <d v="2025-03-06T00:00:00"/>
    <d v="2025-03-01T00:00:00"/>
    <x v="0"/>
    <n v="1"/>
    <n v="7400"/>
    <n v="7772.84"/>
    <n v="1"/>
    <n v="0"/>
    <n v="0"/>
    <n v="-372.84000000000015"/>
  </r>
  <r>
    <s v="TSK-0625"/>
    <s v="PRJ-1025"/>
    <x v="24"/>
    <x v="3"/>
    <s v="System Implementation"/>
    <x v="0"/>
    <s v="Training"/>
    <s v="Training Task 21"/>
    <s v="Critical"/>
    <x v="0"/>
    <s v="Internal Team"/>
    <d v="2026-03-14T00:00:00"/>
    <d v="2026-03-18T00:00:00"/>
    <m/>
    <x v="2"/>
    <n v="0.25"/>
    <n v="38500"/>
    <n v="33388.949999999997"/>
    <n v="0"/>
    <s v=""/>
    <n v="0"/>
    <n v="5111.0500000000029"/>
  </r>
  <r>
    <s v="TSK-0626"/>
    <s v="PRJ-1026"/>
    <x v="25"/>
    <x v="4"/>
    <s v="Cost Reduction"/>
    <x v="1"/>
    <s v="Launch"/>
    <s v="Launch Task 21"/>
    <s v="Medium"/>
    <x v="1"/>
    <s v="Northstar Consulting"/>
    <d v="2025-05-30T00:00:00"/>
    <d v="2025-06-20T00:00:00"/>
    <m/>
    <x v="1"/>
    <n v="0.2"/>
    <n v="5300"/>
    <n v="5762.94"/>
    <n v="4"/>
    <s v=""/>
    <n v="0"/>
    <n v="-462.9399999999996"/>
  </r>
  <r>
    <s v="TSK-0627"/>
    <s v="PRJ-1027"/>
    <x v="26"/>
    <x v="5"/>
    <s v="Automation"/>
    <x v="2"/>
    <s v="Closeout"/>
    <s v="Closeout Task 21"/>
    <s v="Critical"/>
    <x v="2"/>
    <s v="Summit Partners"/>
    <d v="2026-03-19T00:00:00"/>
    <d v="2026-03-22T00:00:00"/>
    <d v="2026-03-18T00:00:00"/>
    <x v="0"/>
    <n v="1"/>
    <n v="33500"/>
    <n v="34238.980000000003"/>
    <n v="3"/>
    <n v="0"/>
    <n v="0"/>
    <n v="-738.9800000000032"/>
  </r>
  <r>
    <s v="TSK-0628"/>
    <s v="PRJ-1028"/>
    <x v="27"/>
    <x v="6"/>
    <s v="Process Improvement"/>
    <x v="3"/>
    <s v="Discovery"/>
    <s v="Discovery Task 21"/>
    <s v="High"/>
    <x v="1"/>
    <s v="Northstar Consulting"/>
    <d v="2026-01-11T00:00:00"/>
    <d v="2026-02-01T00:00:00"/>
    <d v="2026-02-01T00:00:00"/>
    <x v="0"/>
    <n v="1"/>
    <n v="44600"/>
    <n v="48450.9"/>
    <n v="3"/>
    <n v="0"/>
    <n v="0"/>
    <n v="-3850.9000000000015"/>
  </r>
  <r>
    <s v="TSK-0629"/>
    <s v="PRJ-1029"/>
    <x v="28"/>
    <x v="0"/>
    <s v="Facility Upgrade"/>
    <x v="4"/>
    <s v="Planning"/>
    <s v="Planning Task 21"/>
    <s v="Medium"/>
    <x v="0"/>
    <s v="Summit Partners"/>
    <d v="2026-01-25T00:00:00"/>
    <d v="2026-02-11T00:00:00"/>
    <d v="2026-02-05T00:00:00"/>
    <x v="0"/>
    <n v="1"/>
    <n v="5100"/>
    <n v="5218.68"/>
    <n v="0"/>
    <n v="0"/>
    <n v="0"/>
    <n v="-118.68000000000029"/>
  </r>
  <r>
    <s v="TSK-0630"/>
    <s v="PRJ-1030"/>
    <x v="29"/>
    <x v="1"/>
    <s v="Compliance"/>
    <x v="5"/>
    <s v="Configuration"/>
    <s v="Configuration Task 21"/>
    <s v="Medium"/>
    <x v="0"/>
    <s v="Internal Team"/>
    <d v="2025-12-12T00:00:00"/>
    <d v="2026-01-04T00:00:00"/>
    <m/>
    <x v="1"/>
    <n v="0.1"/>
    <n v="22400"/>
    <n v="21550.59"/>
    <n v="3"/>
    <s v=""/>
    <n v="0"/>
    <n v="849.40999999999985"/>
  </r>
  <r>
    <s v="TSK-0631"/>
    <s v="PRJ-1001"/>
    <x v="0"/>
    <x v="0"/>
    <s v="Facility Upgrade"/>
    <x v="0"/>
    <s v="Execution"/>
    <s v="Execution Task 22"/>
    <s v="High"/>
    <x v="2"/>
    <s v="Internal Team"/>
    <d v="2026-03-25T00:00:00"/>
    <d v="2026-04-11T00:00:00"/>
    <d v="2026-04-18T00:00:00"/>
    <x v="0"/>
    <n v="1"/>
    <n v="35900"/>
    <n v="33756.589999999997"/>
    <n v="1"/>
    <n v="7"/>
    <n v="0"/>
    <n v="2143.4100000000035"/>
  </r>
  <r>
    <s v="TSK-0632"/>
    <s v="PRJ-1002"/>
    <x v="1"/>
    <x v="1"/>
    <s v="Compliance"/>
    <x v="1"/>
    <s v="Testing"/>
    <s v="Testing Task 22"/>
    <s v="High"/>
    <x v="1"/>
    <s v="Internal Team"/>
    <d v="2025-05-28T00:00:00"/>
    <d v="2025-06-16T00:00:00"/>
    <m/>
    <x v="0"/>
    <n v="0"/>
    <n v="20000"/>
    <n v="0"/>
    <n v="3"/>
    <s v=""/>
    <n v="0"/>
    <n v="20000"/>
  </r>
  <r>
    <s v="TSK-0633"/>
    <s v="PRJ-1003"/>
    <x v="2"/>
    <x v="2"/>
    <s v="Vendor Transition"/>
    <x v="2"/>
    <s v="Training"/>
    <s v="Training Task 22"/>
    <s v="Medium"/>
    <x v="2"/>
    <s v="Vertex Systems"/>
    <d v="2025-02-07T00:00:00"/>
    <d v="2025-03-01T00:00:00"/>
    <d v="2025-03-20T00:00:00"/>
    <x v="0"/>
    <n v="1"/>
    <n v="33500"/>
    <n v="42532.61"/>
    <n v="3"/>
    <n v="19"/>
    <n v="0"/>
    <n v="-9032.61"/>
  </r>
  <r>
    <s v="TSK-0634"/>
    <s v="PRJ-1004"/>
    <x v="3"/>
    <x v="3"/>
    <s v="System Implementation"/>
    <x v="3"/>
    <s v="Launch"/>
    <s v="Launch Task 22"/>
    <s v="High"/>
    <x v="1"/>
    <s v="Internal Team"/>
    <d v="2026-04-23T00:00:00"/>
    <d v="2026-05-10T00:00:00"/>
    <d v="2026-05-09T00:00:00"/>
    <x v="0"/>
    <n v="1"/>
    <n v="25800"/>
    <n v="28923.38"/>
    <n v="5"/>
    <n v="0"/>
    <n v="0"/>
    <n v="-3123.380000000001"/>
  </r>
  <r>
    <s v="TSK-0635"/>
    <s v="PRJ-1005"/>
    <x v="4"/>
    <x v="4"/>
    <s v="Cost Reduction"/>
    <x v="4"/>
    <s v="Closeout"/>
    <s v="Closeout Task 22"/>
    <s v="Medium"/>
    <x v="1"/>
    <s v="Internal Team"/>
    <d v="2025-06-24T00:00:00"/>
    <d v="2025-07-17T00:00:00"/>
    <d v="2025-07-23T00:00:00"/>
    <x v="0"/>
    <n v="1"/>
    <n v="42400"/>
    <n v="35037.949999999997"/>
    <n v="1"/>
    <n v="6"/>
    <n v="0"/>
    <n v="7362.0500000000029"/>
  </r>
  <r>
    <s v="TSK-0636"/>
    <s v="PRJ-1006"/>
    <x v="5"/>
    <x v="5"/>
    <s v="Automation"/>
    <x v="5"/>
    <s v="Discovery"/>
    <s v="Discovery Task 22"/>
    <s v="Medium"/>
    <x v="2"/>
    <s v="Internal Team"/>
    <d v="2025-08-09T00:00:00"/>
    <d v="2025-08-20T00:00:00"/>
    <d v="2025-08-20T00:00:00"/>
    <x v="0"/>
    <n v="1"/>
    <n v="17700"/>
    <n v="18357.34"/>
    <n v="0"/>
    <n v="0"/>
    <n v="0"/>
    <n v="-657.34000000000015"/>
  </r>
  <r>
    <s v="TSK-0637"/>
    <s v="PRJ-1007"/>
    <x v="6"/>
    <x v="6"/>
    <s v="Process Improvement"/>
    <x v="0"/>
    <s v="Planning"/>
    <s v="Planning Task 22"/>
    <s v="High"/>
    <x v="0"/>
    <s v="Apex Solutions"/>
    <d v="2025-09-13T00:00:00"/>
    <d v="2025-09-25T00:00:00"/>
    <m/>
    <x v="0"/>
    <n v="0.5"/>
    <n v="36300"/>
    <n v="38413.82"/>
    <n v="3"/>
    <s v=""/>
    <n v="0"/>
    <n v="-2113.8199999999997"/>
  </r>
  <r>
    <s v="TSK-0638"/>
    <s v="PRJ-1008"/>
    <x v="7"/>
    <x v="0"/>
    <s v="Facility Upgrade"/>
    <x v="1"/>
    <s v="Requirements"/>
    <s v="Requirements Task 22"/>
    <s v="Critical"/>
    <x v="0"/>
    <s v="BluePeak Services"/>
    <d v="2025-07-13T00:00:00"/>
    <d v="2025-07-18T00:00:00"/>
    <m/>
    <x v="0"/>
    <n v="0"/>
    <n v="40600"/>
    <n v="0"/>
    <n v="0"/>
    <s v=""/>
    <n v="0"/>
    <n v="40600"/>
  </r>
  <r>
    <s v="TSK-0639"/>
    <s v="PRJ-1009"/>
    <x v="8"/>
    <x v="1"/>
    <s v="Compliance"/>
    <x v="2"/>
    <s v="Configuration"/>
    <s v="Configuration Task 22"/>
    <s v="Low"/>
    <x v="0"/>
    <s v="Vertex Systems"/>
    <d v="2026-05-25T00:00:00"/>
    <d v="2026-06-01T00:00:00"/>
    <d v="2026-06-20T00:00:00"/>
    <x v="0"/>
    <n v="1"/>
    <n v="24100"/>
    <n v="23042.959999999999"/>
    <n v="0"/>
    <n v="19"/>
    <n v="0"/>
    <n v="1057.0400000000009"/>
  </r>
  <r>
    <s v="TSK-0640"/>
    <s v="PRJ-1010"/>
    <x v="9"/>
    <x v="2"/>
    <s v="Vendor Transition"/>
    <x v="3"/>
    <s v="Execution"/>
    <s v="Execution Task 22"/>
    <s v="Critical"/>
    <x v="2"/>
    <s v="Internal Team"/>
    <d v="2025-05-26T00:00:00"/>
    <d v="2025-06-11T00:00:00"/>
    <m/>
    <x v="2"/>
    <n v="0.85"/>
    <n v="2400"/>
    <n v="2468.8200000000002"/>
    <n v="2"/>
    <s v=""/>
    <n v="0"/>
    <n v="-68.820000000000164"/>
  </r>
  <r>
    <s v="TSK-0641"/>
    <s v="PRJ-1011"/>
    <x v="10"/>
    <x v="3"/>
    <s v="System Implementation"/>
    <x v="4"/>
    <s v="Testing"/>
    <s v="Testing Task 22"/>
    <s v="High"/>
    <x v="2"/>
    <s v="Apex Solutions"/>
    <d v="2026-03-13T00:00:00"/>
    <d v="2026-03-29T00:00:00"/>
    <d v="2026-03-24T00:00:00"/>
    <x v="0"/>
    <n v="1"/>
    <n v="22600"/>
    <n v="19425.22"/>
    <n v="1"/>
    <n v="0"/>
    <n v="0"/>
    <n v="3174.7799999999988"/>
  </r>
  <r>
    <s v="TSK-0642"/>
    <s v="PRJ-1012"/>
    <x v="11"/>
    <x v="4"/>
    <s v="Cost Reduction"/>
    <x v="5"/>
    <s v="Training"/>
    <s v="Training Task 22"/>
    <s v="Medium"/>
    <x v="0"/>
    <s v="Apex Solutions"/>
    <d v="2026-04-08T00:00:00"/>
    <d v="2026-04-16T00:00:00"/>
    <d v="2026-04-11T00:00:00"/>
    <x v="0"/>
    <n v="1"/>
    <n v="11400"/>
    <n v="10911.29"/>
    <n v="2"/>
    <n v="0"/>
    <n v="0"/>
    <n v="488.70999999999913"/>
  </r>
  <r>
    <s v="TSK-0643"/>
    <s v="PRJ-1013"/>
    <x v="12"/>
    <x v="5"/>
    <s v="Automation"/>
    <x v="0"/>
    <s v="Launch"/>
    <s v="Launch Task 22"/>
    <s v="High"/>
    <x v="0"/>
    <s v="Internal Team"/>
    <d v="2025-11-23T00:00:00"/>
    <d v="2025-12-15T00:00:00"/>
    <d v="2025-12-16T00:00:00"/>
    <x v="0"/>
    <n v="1"/>
    <n v="43800"/>
    <n v="40840.6"/>
    <n v="2"/>
    <n v="1"/>
    <n v="0"/>
    <n v="2959.4000000000015"/>
  </r>
  <r>
    <s v="TSK-0644"/>
    <s v="PRJ-1014"/>
    <x v="13"/>
    <x v="6"/>
    <s v="Process Improvement"/>
    <x v="1"/>
    <s v="Closeout"/>
    <s v="Closeout Task 22"/>
    <s v="High"/>
    <x v="0"/>
    <s v="Internal Team"/>
    <d v="2025-03-01T00:00:00"/>
    <d v="2025-03-14T00:00:00"/>
    <d v="2025-03-07T00:00:00"/>
    <x v="0"/>
    <n v="1"/>
    <n v="20700"/>
    <n v="20060.05"/>
    <n v="2"/>
    <n v="0"/>
    <n v="0"/>
    <n v="639.95000000000073"/>
  </r>
  <r>
    <s v="TSK-0645"/>
    <s v="PRJ-1015"/>
    <x v="14"/>
    <x v="0"/>
    <s v="Facility Upgrade"/>
    <x v="2"/>
    <s v="Discovery"/>
    <s v="Discovery Task 22"/>
    <s v="High"/>
    <x v="2"/>
    <s v="BluePeak Services"/>
    <d v="2025-12-11T00:00:00"/>
    <d v="2025-12-25T00:00:00"/>
    <m/>
    <x v="2"/>
    <n v="0.4"/>
    <n v="24700"/>
    <n v="25635.08"/>
    <n v="2"/>
    <s v=""/>
    <n v="0"/>
    <n v="-935.08000000000175"/>
  </r>
  <r>
    <s v="TSK-0646"/>
    <s v="PRJ-1016"/>
    <x v="15"/>
    <x v="1"/>
    <s v="Compliance"/>
    <x v="3"/>
    <s v="Planning"/>
    <s v="Planning Task 22"/>
    <s v="Critical"/>
    <x v="2"/>
    <s v="BluePeak Services"/>
    <d v="2025-10-30T00:00:00"/>
    <d v="2025-11-06T00:00:00"/>
    <m/>
    <x v="3"/>
    <n v="0"/>
    <n v="33600"/>
    <n v="0"/>
    <n v="2"/>
    <s v=""/>
    <n v="0"/>
    <n v="33600"/>
  </r>
  <r>
    <s v="TSK-0647"/>
    <s v="PRJ-1017"/>
    <x v="16"/>
    <x v="2"/>
    <s v="Vendor Transition"/>
    <x v="4"/>
    <s v="Requirements"/>
    <s v="Requirements Task 22"/>
    <s v="High"/>
    <x v="0"/>
    <s v="Internal Team"/>
    <d v="2025-06-17T00:00:00"/>
    <d v="2025-07-11T00:00:00"/>
    <m/>
    <x v="3"/>
    <n v="0"/>
    <n v="26100"/>
    <n v="0"/>
    <n v="0"/>
    <s v=""/>
    <n v="0"/>
    <n v="26100"/>
  </r>
  <r>
    <s v="TSK-0648"/>
    <s v="PRJ-1018"/>
    <x v="17"/>
    <x v="3"/>
    <s v="System Implementation"/>
    <x v="5"/>
    <s v="Configuration"/>
    <s v="Configuration Task 22"/>
    <s v="High"/>
    <x v="2"/>
    <s v="BluePeak Services"/>
    <d v="2025-02-25T00:00:00"/>
    <d v="2025-03-21T00:00:00"/>
    <d v="2025-03-20T00:00:00"/>
    <x v="0"/>
    <n v="1"/>
    <n v="38100"/>
    <n v="42829.68"/>
    <n v="1"/>
    <n v="0"/>
    <n v="0"/>
    <n v="-4729.68"/>
  </r>
  <r>
    <s v="TSK-0649"/>
    <s v="PRJ-1019"/>
    <x v="18"/>
    <x v="4"/>
    <s v="Cost Reduction"/>
    <x v="0"/>
    <s v="Execution"/>
    <s v="Execution Task 22"/>
    <s v="Low"/>
    <x v="2"/>
    <s v="Northstar Consulting"/>
    <d v="2025-04-19T00:00:00"/>
    <d v="2025-05-17T00:00:00"/>
    <d v="2025-05-20T00:00:00"/>
    <x v="0"/>
    <n v="1"/>
    <n v="13600"/>
    <n v="15713.56"/>
    <n v="2"/>
    <n v="3"/>
    <n v="0"/>
    <n v="-2113.5599999999995"/>
  </r>
  <r>
    <s v="TSK-0650"/>
    <s v="PRJ-1020"/>
    <x v="19"/>
    <x v="5"/>
    <s v="Automation"/>
    <x v="1"/>
    <s v="Testing"/>
    <s v="Testing Task 22"/>
    <s v="Medium"/>
    <x v="2"/>
    <s v="Internal Team"/>
    <d v="2025-09-05T00:00:00"/>
    <d v="2025-09-20T00:00:00"/>
    <m/>
    <x v="2"/>
    <n v="0.5"/>
    <n v="27700"/>
    <n v="27221.83"/>
    <n v="2"/>
    <s v=""/>
    <n v="0"/>
    <n v="478.16999999999825"/>
  </r>
  <r>
    <s v="TSK-0651"/>
    <s v="PRJ-1021"/>
    <x v="20"/>
    <x v="6"/>
    <s v="Process Improvement"/>
    <x v="2"/>
    <s v="Training"/>
    <s v="Training Task 22"/>
    <s v="High"/>
    <x v="0"/>
    <s v="Vertex Systems"/>
    <d v="2025-08-22T00:00:00"/>
    <d v="2025-09-05T00:00:00"/>
    <m/>
    <x v="2"/>
    <n v="0.25"/>
    <n v="13900"/>
    <n v="11673"/>
    <n v="4"/>
    <s v=""/>
    <n v="0"/>
    <n v="2227"/>
  </r>
  <r>
    <s v="TSK-0652"/>
    <s v="PRJ-1022"/>
    <x v="21"/>
    <x v="0"/>
    <s v="Facility Upgrade"/>
    <x v="3"/>
    <s v="Launch"/>
    <s v="Launch Task 22"/>
    <s v="High"/>
    <x v="0"/>
    <s v="Vertex Systems"/>
    <d v="2026-01-12T00:00:00"/>
    <d v="2026-02-07T00:00:00"/>
    <m/>
    <x v="1"/>
    <n v="0.5"/>
    <n v="14100"/>
    <n v="15792.08"/>
    <n v="0"/>
    <s v=""/>
    <n v="0"/>
    <n v="-1692.08"/>
  </r>
  <r>
    <s v="TSK-0653"/>
    <s v="PRJ-1023"/>
    <x v="22"/>
    <x v="1"/>
    <s v="Compliance"/>
    <x v="4"/>
    <s v="Closeout"/>
    <s v="Closeout Task 22"/>
    <s v="Medium"/>
    <x v="1"/>
    <s v="Internal Team"/>
    <d v="2026-04-09T00:00:00"/>
    <d v="2026-05-01T00:00:00"/>
    <m/>
    <x v="3"/>
    <n v="0"/>
    <n v="10500"/>
    <n v="0"/>
    <n v="3"/>
    <s v=""/>
    <n v="0"/>
    <n v="10500"/>
  </r>
  <r>
    <s v="TSK-0654"/>
    <s v="PRJ-1024"/>
    <x v="23"/>
    <x v="2"/>
    <s v="Vendor Transition"/>
    <x v="5"/>
    <s v="Discovery"/>
    <s v="Discovery Task 22"/>
    <s v="Critical"/>
    <x v="0"/>
    <s v="BluePeak Services"/>
    <d v="2025-04-25T00:00:00"/>
    <d v="2025-04-30T00:00:00"/>
    <m/>
    <x v="3"/>
    <n v="0"/>
    <n v="29300"/>
    <n v="0"/>
    <n v="2"/>
    <s v=""/>
    <n v="0"/>
    <n v="29300"/>
  </r>
  <r>
    <s v="TSK-0655"/>
    <s v="PRJ-1025"/>
    <x v="24"/>
    <x v="3"/>
    <s v="System Implementation"/>
    <x v="0"/>
    <s v="Planning"/>
    <s v="Planning Task 22"/>
    <s v="Medium"/>
    <x v="2"/>
    <s v="BluePeak Services"/>
    <d v="2025-12-10T00:00:00"/>
    <d v="2025-12-18T00:00:00"/>
    <d v="2025-12-18T00:00:00"/>
    <x v="0"/>
    <n v="1"/>
    <n v="37300"/>
    <n v="42665.72"/>
    <n v="1"/>
    <n v="0"/>
    <n v="0"/>
    <n v="-5365.7200000000012"/>
  </r>
  <r>
    <s v="TSK-0656"/>
    <s v="PRJ-1026"/>
    <x v="25"/>
    <x v="4"/>
    <s v="Cost Reduction"/>
    <x v="1"/>
    <s v="Requirements"/>
    <s v="Requirements Task 22"/>
    <s v="Medium"/>
    <x v="2"/>
    <s v="Internal Team"/>
    <d v="2025-04-17T00:00:00"/>
    <d v="2025-04-24T00:00:00"/>
    <m/>
    <x v="2"/>
    <n v="0.85"/>
    <n v="37800"/>
    <n v="43780.41"/>
    <n v="0"/>
    <s v=""/>
    <n v="0"/>
    <n v="-5980.4100000000035"/>
  </r>
  <r>
    <s v="TSK-0657"/>
    <s v="PRJ-1027"/>
    <x v="26"/>
    <x v="5"/>
    <s v="Automation"/>
    <x v="2"/>
    <s v="Configuration"/>
    <s v="Configuration Task 22"/>
    <s v="High"/>
    <x v="0"/>
    <s v="Apex Solutions"/>
    <d v="2026-03-10T00:00:00"/>
    <d v="2026-03-13T00:00:00"/>
    <m/>
    <x v="3"/>
    <n v="0"/>
    <n v="13600"/>
    <n v="0"/>
    <n v="2"/>
    <s v=""/>
    <n v="0"/>
    <n v="13600"/>
  </r>
  <r>
    <s v="TSK-0658"/>
    <s v="PRJ-1028"/>
    <x v="27"/>
    <x v="6"/>
    <s v="Process Improvement"/>
    <x v="3"/>
    <s v="Execution"/>
    <s v="Execution Task 22"/>
    <s v="High"/>
    <x v="2"/>
    <s v="Apex Solutions"/>
    <d v="2026-02-08T00:00:00"/>
    <d v="2026-03-03T00:00:00"/>
    <d v="2026-03-05T00:00:00"/>
    <x v="0"/>
    <n v="1"/>
    <n v="43900"/>
    <n v="46719.62"/>
    <n v="1"/>
    <n v="2"/>
    <n v="0"/>
    <n v="-2819.6200000000026"/>
  </r>
  <r>
    <s v="TSK-0659"/>
    <s v="PRJ-1029"/>
    <x v="28"/>
    <x v="0"/>
    <s v="Facility Upgrade"/>
    <x v="4"/>
    <s v="Testing"/>
    <s v="Testing Task 22"/>
    <s v="High"/>
    <x v="0"/>
    <s v="Internal Team"/>
    <d v="2026-05-28T00:00:00"/>
    <d v="2026-06-01T00:00:00"/>
    <m/>
    <x v="3"/>
    <n v="0"/>
    <n v="21600"/>
    <n v="0"/>
    <n v="0"/>
    <s v=""/>
    <n v="0"/>
    <n v="21600"/>
  </r>
  <r>
    <s v="TSK-0660"/>
    <s v="PRJ-1030"/>
    <x v="29"/>
    <x v="1"/>
    <s v="Compliance"/>
    <x v="5"/>
    <s v="Launch"/>
    <s v="Launch Task 22"/>
    <s v="Low"/>
    <x v="0"/>
    <s v="Northstar Consulting"/>
    <d v="2026-01-11T00:00:00"/>
    <d v="2026-01-15T00:00:00"/>
    <m/>
    <x v="2"/>
    <n v="0.75"/>
    <n v="29300"/>
    <n v="31759.9"/>
    <n v="2"/>
    <s v=""/>
    <n v="0"/>
    <n v="-2459.9000000000015"/>
  </r>
  <r>
    <s v="TSK-0661"/>
    <s v="PRJ-1001"/>
    <x v="0"/>
    <x v="0"/>
    <s v="Facility Upgrade"/>
    <x v="0"/>
    <s v="Closeout"/>
    <s v="Closeout Task 23"/>
    <s v="High"/>
    <x v="2"/>
    <s v="Northstar Consulting"/>
    <d v="2026-01-10T00:00:00"/>
    <d v="2026-01-30T00:00:00"/>
    <m/>
    <x v="0"/>
    <n v="0.5"/>
    <n v="37500"/>
    <n v="36862.71"/>
    <n v="1"/>
    <s v=""/>
    <n v="0"/>
    <n v="637.29000000000087"/>
  </r>
  <r>
    <s v="TSK-0662"/>
    <s v="PRJ-1002"/>
    <x v="1"/>
    <x v="1"/>
    <s v="Compliance"/>
    <x v="1"/>
    <s v="Discovery"/>
    <s v="Discovery Task 23"/>
    <s v="High"/>
    <x v="2"/>
    <s v="Internal Team"/>
    <d v="2025-07-30T00:00:00"/>
    <d v="2025-08-13T00:00:00"/>
    <d v="2025-08-23T00:00:00"/>
    <x v="0"/>
    <n v="1"/>
    <n v="17700"/>
    <n v="18244.46"/>
    <n v="1"/>
    <n v="10"/>
    <n v="0"/>
    <n v="-544.45999999999913"/>
  </r>
  <r>
    <s v="TSK-0663"/>
    <s v="PRJ-1003"/>
    <x v="2"/>
    <x v="2"/>
    <s v="Vendor Transition"/>
    <x v="2"/>
    <s v="Planning"/>
    <s v="Planning Task 23"/>
    <s v="Critical"/>
    <x v="0"/>
    <s v="Internal Team"/>
    <d v="2025-03-15T00:00:00"/>
    <d v="2025-04-13T00:00:00"/>
    <m/>
    <x v="0"/>
    <n v="0.75"/>
    <n v="28200"/>
    <n v="29032.06"/>
    <n v="2"/>
    <s v=""/>
    <n v="0"/>
    <n v="-832.06000000000131"/>
  </r>
  <r>
    <s v="TSK-0664"/>
    <s v="PRJ-1004"/>
    <x v="3"/>
    <x v="3"/>
    <s v="System Implementation"/>
    <x v="3"/>
    <s v="Requirements"/>
    <s v="Requirements Task 23"/>
    <s v="Medium"/>
    <x v="2"/>
    <s v="Vertex Systems"/>
    <d v="2026-02-18T00:00:00"/>
    <d v="2026-03-06T00:00:00"/>
    <d v="2026-03-01T00:00:00"/>
    <x v="0"/>
    <n v="1"/>
    <n v="4800"/>
    <n v="5397.74"/>
    <n v="0"/>
    <n v="0"/>
    <n v="0"/>
    <n v="-597.73999999999978"/>
  </r>
  <r>
    <s v="TSK-0665"/>
    <s v="PRJ-1005"/>
    <x v="4"/>
    <x v="4"/>
    <s v="Cost Reduction"/>
    <x v="4"/>
    <s v="Configuration"/>
    <s v="Configuration Task 23"/>
    <s v="Medium"/>
    <x v="0"/>
    <s v="Internal Team"/>
    <d v="2025-09-16T00:00:00"/>
    <d v="2025-10-08T00:00:00"/>
    <d v="2025-10-14T00:00:00"/>
    <x v="0"/>
    <n v="1"/>
    <n v="14800"/>
    <n v="14909.14"/>
    <n v="1"/>
    <n v="6"/>
    <n v="0"/>
    <n v="-109.13999999999942"/>
  </r>
  <r>
    <s v="TSK-0666"/>
    <s v="PRJ-1006"/>
    <x v="5"/>
    <x v="5"/>
    <s v="Automation"/>
    <x v="5"/>
    <s v="Execution"/>
    <s v="Execution Task 23"/>
    <s v="Medium"/>
    <x v="2"/>
    <s v="Vertex Systems"/>
    <d v="2025-07-28T00:00:00"/>
    <d v="2025-08-04T00:00:00"/>
    <m/>
    <x v="0"/>
    <n v="0.25"/>
    <n v="20000"/>
    <n v="19295.23"/>
    <n v="2"/>
    <s v=""/>
    <n v="0"/>
    <n v="704.77000000000044"/>
  </r>
  <r>
    <s v="TSK-0667"/>
    <s v="PRJ-1007"/>
    <x v="6"/>
    <x v="6"/>
    <s v="Process Improvement"/>
    <x v="0"/>
    <s v="Testing"/>
    <s v="Testing Task 23"/>
    <s v="Low"/>
    <x v="0"/>
    <s v="Internal Team"/>
    <d v="2025-06-19T00:00:00"/>
    <d v="2025-06-25T00:00:00"/>
    <m/>
    <x v="0"/>
    <n v="0"/>
    <n v="30200"/>
    <n v="0"/>
    <n v="0"/>
    <s v=""/>
    <n v="0"/>
    <n v="30200"/>
  </r>
  <r>
    <s v="TSK-0668"/>
    <s v="PRJ-1008"/>
    <x v="7"/>
    <x v="0"/>
    <s v="Facility Upgrade"/>
    <x v="1"/>
    <s v="Training"/>
    <s v="Training Task 23"/>
    <s v="Critical"/>
    <x v="0"/>
    <s v="Internal Team"/>
    <d v="2025-03-20T00:00:00"/>
    <d v="2025-04-16T00:00:00"/>
    <m/>
    <x v="0"/>
    <n v="0"/>
    <n v="6900"/>
    <n v="0"/>
    <n v="0"/>
    <s v=""/>
    <n v="0"/>
    <n v="6900"/>
  </r>
  <r>
    <s v="TSK-0669"/>
    <s v="PRJ-1009"/>
    <x v="8"/>
    <x v="1"/>
    <s v="Compliance"/>
    <x v="2"/>
    <s v="Launch"/>
    <s v="Launch Task 23"/>
    <s v="Medium"/>
    <x v="2"/>
    <s v="Internal Team"/>
    <d v="2026-02-24T00:00:00"/>
    <d v="2026-03-26T00:00:00"/>
    <d v="2026-03-22T00:00:00"/>
    <x v="0"/>
    <n v="1"/>
    <n v="13600"/>
    <n v="12649.33"/>
    <n v="1"/>
    <n v="0"/>
    <n v="0"/>
    <n v="950.67000000000007"/>
  </r>
  <r>
    <s v="TSK-0670"/>
    <s v="PRJ-1010"/>
    <x v="9"/>
    <x v="2"/>
    <s v="Vendor Transition"/>
    <x v="3"/>
    <s v="Closeout"/>
    <s v="Closeout Task 23"/>
    <s v="High"/>
    <x v="2"/>
    <s v="Northstar Consulting"/>
    <d v="2025-07-06T00:00:00"/>
    <d v="2025-07-27T00:00:00"/>
    <m/>
    <x v="3"/>
    <n v="0"/>
    <n v="37200"/>
    <n v="0"/>
    <n v="0"/>
    <s v=""/>
    <n v="0"/>
    <n v="37200"/>
  </r>
  <r>
    <s v="TSK-0671"/>
    <s v="PRJ-1011"/>
    <x v="10"/>
    <x v="3"/>
    <s v="System Implementation"/>
    <x v="4"/>
    <s v="Discovery"/>
    <s v="Discovery Task 23"/>
    <s v="High"/>
    <x v="1"/>
    <s v="Internal Team"/>
    <d v="2026-05-04T00:00:00"/>
    <d v="2026-05-07T00:00:00"/>
    <m/>
    <x v="1"/>
    <n v="0.1"/>
    <n v="41700"/>
    <n v="52479.54"/>
    <n v="2"/>
    <s v=""/>
    <n v="0"/>
    <n v="-10779.54"/>
  </r>
  <r>
    <s v="TSK-0672"/>
    <s v="PRJ-1012"/>
    <x v="11"/>
    <x v="4"/>
    <s v="Cost Reduction"/>
    <x v="5"/>
    <s v="Planning"/>
    <s v="Planning Task 23"/>
    <s v="Medium"/>
    <x v="2"/>
    <s v="Internal Team"/>
    <d v="2026-02-16T00:00:00"/>
    <d v="2026-02-24T00:00:00"/>
    <d v="2026-03-05T00:00:00"/>
    <x v="0"/>
    <n v="1"/>
    <n v="23900"/>
    <n v="24054.26"/>
    <n v="0"/>
    <n v="9"/>
    <n v="0"/>
    <n v="-154.2599999999984"/>
  </r>
  <r>
    <s v="TSK-0673"/>
    <s v="PRJ-1013"/>
    <x v="12"/>
    <x v="5"/>
    <s v="Automation"/>
    <x v="0"/>
    <s v="Requirements"/>
    <s v="Requirements Task 23"/>
    <s v="Medium"/>
    <x v="0"/>
    <s v="Apex Solutions"/>
    <d v="2026-02-15T00:00:00"/>
    <d v="2026-03-14T00:00:00"/>
    <m/>
    <x v="2"/>
    <n v="0.5"/>
    <n v="25700"/>
    <n v="28839.62"/>
    <n v="2"/>
    <s v=""/>
    <n v="0"/>
    <n v="-3139.619999999999"/>
  </r>
  <r>
    <s v="TSK-0674"/>
    <s v="PRJ-1014"/>
    <x v="13"/>
    <x v="6"/>
    <s v="Process Improvement"/>
    <x v="1"/>
    <s v="Configuration"/>
    <s v="Configuration Task 23"/>
    <s v="Low"/>
    <x v="0"/>
    <s v="Northstar Consulting"/>
    <d v="2025-05-09T00:00:00"/>
    <d v="2025-06-02T00:00:00"/>
    <m/>
    <x v="1"/>
    <n v="0.5"/>
    <n v="11300"/>
    <n v="11805.78"/>
    <n v="0"/>
    <s v=""/>
    <n v="0"/>
    <n v="-505.78000000000065"/>
  </r>
  <r>
    <s v="TSK-0675"/>
    <s v="PRJ-1015"/>
    <x v="14"/>
    <x v="0"/>
    <s v="Facility Upgrade"/>
    <x v="2"/>
    <s v="Execution"/>
    <s v="Execution Task 23"/>
    <s v="Medium"/>
    <x v="1"/>
    <s v="BluePeak Services"/>
    <d v="2026-03-05T00:00:00"/>
    <d v="2026-03-29T00:00:00"/>
    <m/>
    <x v="2"/>
    <n v="0.25"/>
    <n v="44900"/>
    <n v="55915.77"/>
    <n v="2"/>
    <s v=""/>
    <n v="0"/>
    <n v="-11015.769999999997"/>
  </r>
  <r>
    <s v="TSK-0676"/>
    <s v="PRJ-1016"/>
    <x v="15"/>
    <x v="1"/>
    <s v="Compliance"/>
    <x v="3"/>
    <s v="Testing"/>
    <s v="Testing Task 23"/>
    <s v="Medium"/>
    <x v="2"/>
    <s v="Internal Team"/>
    <d v="2025-09-15T00:00:00"/>
    <d v="2025-09-30T00:00:00"/>
    <m/>
    <x v="2"/>
    <n v="0.75"/>
    <n v="44000"/>
    <n v="44999.68"/>
    <n v="2"/>
    <s v=""/>
    <n v="0"/>
    <n v="-999.68000000000029"/>
  </r>
  <r>
    <s v="TSK-0677"/>
    <s v="PRJ-1017"/>
    <x v="16"/>
    <x v="2"/>
    <s v="Vendor Transition"/>
    <x v="4"/>
    <s v="Training"/>
    <s v="Training Task 23"/>
    <s v="Medium"/>
    <x v="0"/>
    <s v="Internal Team"/>
    <d v="2025-03-14T00:00:00"/>
    <d v="2025-04-05T00:00:00"/>
    <d v="2025-03-23T00:00:00"/>
    <x v="0"/>
    <n v="1"/>
    <n v="19100"/>
    <n v="19719.330000000002"/>
    <n v="3"/>
    <n v="0"/>
    <n v="0"/>
    <n v="-619.33000000000175"/>
  </r>
  <r>
    <s v="TSK-0678"/>
    <s v="PRJ-1018"/>
    <x v="17"/>
    <x v="3"/>
    <s v="System Implementation"/>
    <x v="5"/>
    <s v="Launch"/>
    <s v="Launch Task 23"/>
    <s v="Medium"/>
    <x v="2"/>
    <s v="Vertex Systems"/>
    <d v="2025-03-31T00:00:00"/>
    <d v="2025-04-27T00:00:00"/>
    <d v="2025-04-25T00:00:00"/>
    <x v="0"/>
    <n v="1"/>
    <n v="22200"/>
    <n v="20704.080000000002"/>
    <n v="1"/>
    <n v="0"/>
    <n v="0"/>
    <n v="1495.9199999999983"/>
  </r>
  <r>
    <s v="TSK-0679"/>
    <s v="PRJ-1019"/>
    <x v="18"/>
    <x v="4"/>
    <s v="Cost Reduction"/>
    <x v="0"/>
    <s v="Closeout"/>
    <s v="Closeout Task 23"/>
    <s v="Medium"/>
    <x v="0"/>
    <s v="Vertex Systems"/>
    <d v="2025-03-21T00:00:00"/>
    <d v="2025-03-27T00:00:00"/>
    <m/>
    <x v="2"/>
    <n v="0.6"/>
    <n v="11500"/>
    <n v="10952.43"/>
    <n v="1"/>
    <s v=""/>
    <n v="0"/>
    <n v="547.56999999999971"/>
  </r>
  <r>
    <s v="TSK-0680"/>
    <s v="PRJ-1020"/>
    <x v="19"/>
    <x v="5"/>
    <s v="Automation"/>
    <x v="1"/>
    <s v="Discovery"/>
    <s v="Discovery Task 23"/>
    <s v="High"/>
    <x v="2"/>
    <s v="Apex Solutions"/>
    <d v="2025-05-03T00:00:00"/>
    <d v="2025-05-11T00:00:00"/>
    <m/>
    <x v="2"/>
    <n v="0.85"/>
    <n v="15700"/>
    <n v="15863.8"/>
    <n v="1"/>
    <s v=""/>
    <n v="0"/>
    <n v="-163.79999999999927"/>
  </r>
  <r>
    <s v="TSK-0681"/>
    <s v="PRJ-1021"/>
    <x v="20"/>
    <x v="6"/>
    <s v="Process Improvement"/>
    <x v="2"/>
    <s v="Planning"/>
    <s v="Planning Task 23"/>
    <s v="High"/>
    <x v="2"/>
    <s v="Apex Solutions"/>
    <d v="2025-09-08T00:00:00"/>
    <d v="2025-10-06T00:00:00"/>
    <d v="2025-10-17T00:00:00"/>
    <x v="0"/>
    <n v="1"/>
    <n v="14300"/>
    <n v="12721.27"/>
    <n v="2"/>
    <n v="11"/>
    <n v="0"/>
    <n v="1578.7299999999996"/>
  </r>
  <r>
    <s v="TSK-0682"/>
    <s v="PRJ-1022"/>
    <x v="21"/>
    <x v="0"/>
    <s v="Facility Upgrade"/>
    <x v="3"/>
    <s v="Requirements"/>
    <s v="Requirements Task 23"/>
    <s v="Medium"/>
    <x v="2"/>
    <s v="Apex Solutions"/>
    <d v="2025-09-25T00:00:00"/>
    <d v="2025-10-22T00:00:00"/>
    <m/>
    <x v="3"/>
    <n v="0"/>
    <n v="20200"/>
    <n v="0"/>
    <n v="1"/>
    <s v=""/>
    <n v="0"/>
    <n v="20200"/>
  </r>
  <r>
    <s v="TSK-0683"/>
    <s v="PRJ-1023"/>
    <x v="22"/>
    <x v="1"/>
    <s v="Compliance"/>
    <x v="4"/>
    <s v="Configuration"/>
    <s v="Configuration Task 23"/>
    <s v="Medium"/>
    <x v="0"/>
    <s v="Apex Solutions"/>
    <d v="2025-11-18T00:00:00"/>
    <d v="2025-11-26T00:00:00"/>
    <d v="2025-12-02T00:00:00"/>
    <x v="0"/>
    <n v="1"/>
    <n v="32200"/>
    <n v="30529.26"/>
    <n v="1"/>
    <n v="6"/>
    <n v="0"/>
    <n v="1670.7400000000016"/>
  </r>
  <r>
    <s v="TSK-0684"/>
    <s v="PRJ-1024"/>
    <x v="23"/>
    <x v="2"/>
    <s v="Vendor Transition"/>
    <x v="5"/>
    <s v="Execution"/>
    <s v="Execution Task 23"/>
    <s v="High"/>
    <x v="0"/>
    <s v="Internal Team"/>
    <d v="2025-05-24T00:00:00"/>
    <d v="2025-06-17T00:00:00"/>
    <d v="2025-06-19T00:00:00"/>
    <x v="0"/>
    <n v="1"/>
    <n v="25000"/>
    <n v="22028.53"/>
    <n v="2"/>
    <n v="2"/>
    <n v="0"/>
    <n v="2971.4700000000012"/>
  </r>
  <r>
    <s v="TSK-0685"/>
    <s v="PRJ-1025"/>
    <x v="24"/>
    <x v="3"/>
    <s v="System Implementation"/>
    <x v="0"/>
    <s v="Testing"/>
    <s v="Testing Task 23"/>
    <s v="Medium"/>
    <x v="0"/>
    <s v="Internal Team"/>
    <d v="2026-01-24T00:00:00"/>
    <d v="2026-02-15T00:00:00"/>
    <d v="2026-02-18T00:00:00"/>
    <x v="0"/>
    <n v="1"/>
    <n v="4200"/>
    <n v="3908.04"/>
    <n v="1"/>
    <n v="3"/>
    <n v="0"/>
    <n v="291.96000000000004"/>
  </r>
  <r>
    <s v="TSK-0686"/>
    <s v="PRJ-1026"/>
    <x v="25"/>
    <x v="4"/>
    <s v="Cost Reduction"/>
    <x v="1"/>
    <s v="Training"/>
    <s v="Training Task 23"/>
    <s v="Medium"/>
    <x v="2"/>
    <s v="Northstar Consulting"/>
    <d v="2025-07-13T00:00:00"/>
    <d v="2025-07-28T00:00:00"/>
    <m/>
    <x v="3"/>
    <n v="0"/>
    <n v="16500"/>
    <n v="0"/>
    <n v="1"/>
    <s v=""/>
    <n v="0"/>
    <n v="16500"/>
  </r>
  <r>
    <s v="TSK-0687"/>
    <s v="PRJ-1027"/>
    <x v="26"/>
    <x v="5"/>
    <s v="Automation"/>
    <x v="2"/>
    <s v="Launch"/>
    <s v="Launch Task 23"/>
    <s v="High"/>
    <x v="0"/>
    <s v="Northstar Consulting"/>
    <d v="2026-01-28T00:00:00"/>
    <d v="2026-02-22T00:00:00"/>
    <m/>
    <x v="3"/>
    <n v="0"/>
    <n v="14800"/>
    <n v="0"/>
    <n v="1"/>
    <s v=""/>
    <n v="0"/>
    <n v="14800"/>
  </r>
  <r>
    <s v="TSK-0688"/>
    <s v="PRJ-1028"/>
    <x v="27"/>
    <x v="6"/>
    <s v="Process Improvement"/>
    <x v="3"/>
    <s v="Closeout"/>
    <s v="Closeout Task 23"/>
    <s v="Medium"/>
    <x v="0"/>
    <s v="Summit Partners"/>
    <d v="2026-04-28T00:00:00"/>
    <d v="2026-05-17T00:00:00"/>
    <d v="2026-05-20T00:00:00"/>
    <x v="0"/>
    <n v="1"/>
    <n v="13100"/>
    <n v="12722.86"/>
    <n v="0"/>
    <n v="3"/>
    <n v="0"/>
    <n v="377.13999999999942"/>
  </r>
  <r>
    <s v="TSK-0689"/>
    <s v="PRJ-1029"/>
    <x v="28"/>
    <x v="0"/>
    <s v="Facility Upgrade"/>
    <x v="4"/>
    <s v="Discovery"/>
    <s v="Discovery Task 23"/>
    <s v="Critical"/>
    <x v="0"/>
    <s v="Internal Team"/>
    <d v="2026-05-26T00:00:00"/>
    <d v="2026-06-01T00:00:00"/>
    <d v="2026-06-11T00:00:00"/>
    <x v="0"/>
    <n v="1"/>
    <n v="16100"/>
    <n v="17983.71"/>
    <n v="0"/>
    <n v="10"/>
    <n v="0"/>
    <n v="-1883.7099999999991"/>
  </r>
  <r>
    <s v="TSK-0690"/>
    <s v="PRJ-1030"/>
    <x v="29"/>
    <x v="1"/>
    <s v="Compliance"/>
    <x v="5"/>
    <s v="Requirements"/>
    <s v="Requirements Task 23"/>
    <s v="Medium"/>
    <x v="2"/>
    <s v="Internal Team"/>
    <d v="2026-01-31T00:00:00"/>
    <d v="2026-02-09T00:00:00"/>
    <d v="2026-02-11T00:00:00"/>
    <x v="0"/>
    <n v="1"/>
    <n v="38400"/>
    <n v="41039.699999999997"/>
    <n v="0"/>
    <n v="2"/>
    <n v="0"/>
    <n v="-2639.6999999999971"/>
  </r>
  <r>
    <s v="TSK-0691"/>
    <s v="PRJ-1001"/>
    <x v="0"/>
    <x v="0"/>
    <s v="Facility Upgrade"/>
    <x v="0"/>
    <s v="Configuration"/>
    <s v="Configuration Task 24"/>
    <s v="Medium"/>
    <x v="0"/>
    <s v="Internal Team"/>
    <d v="2026-04-24T00:00:00"/>
    <d v="2026-05-09T00:00:00"/>
    <d v="2026-04-29T00:00:00"/>
    <x v="0"/>
    <n v="1"/>
    <n v="32700"/>
    <n v="26968.28"/>
    <n v="0"/>
    <n v="0"/>
    <n v="0"/>
    <n v="5731.7200000000012"/>
  </r>
  <r>
    <s v="TSK-0692"/>
    <s v="PRJ-1002"/>
    <x v="1"/>
    <x v="1"/>
    <s v="Compliance"/>
    <x v="1"/>
    <s v="Execution"/>
    <s v="Execution Task 24"/>
    <s v="Medium"/>
    <x v="2"/>
    <s v="Apex Solutions"/>
    <d v="2025-06-21T00:00:00"/>
    <d v="2025-06-30T00:00:00"/>
    <m/>
    <x v="0"/>
    <n v="0.25"/>
    <n v="29800"/>
    <n v="28325.62"/>
    <n v="1"/>
    <s v=""/>
    <n v="0"/>
    <n v="1474.380000000001"/>
  </r>
  <r>
    <s v="TSK-0693"/>
    <s v="PRJ-1003"/>
    <x v="2"/>
    <x v="2"/>
    <s v="Vendor Transition"/>
    <x v="2"/>
    <s v="Testing"/>
    <s v="Testing Task 24"/>
    <s v="Medium"/>
    <x v="2"/>
    <s v="Internal Team"/>
    <d v="2025-04-30T00:00:00"/>
    <d v="2025-05-11T00:00:00"/>
    <d v="2025-05-25T00:00:00"/>
    <x v="0"/>
    <n v="1"/>
    <n v="21200"/>
    <n v="21748.17"/>
    <n v="1"/>
    <n v="14"/>
    <n v="0"/>
    <n v="-548.16999999999825"/>
  </r>
  <r>
    <s v="TSK-0694"/>
    <s v="PRJ-1004"/>
    <x v="3"/>
    <x v="3"/>
    <s v="System Implementation"/>
    <x v="3"/>
    <s v="Training"/>
    <s v="Training Task 24"/>
    <s v="Low"/>
    <x v="2"/>
    <s v="Summit Partners"/>
    <d v="2026-06-16T00:00:00"/>
    <d v="2026-07-04T00:00:00"/>
    <m/>
    <x v="0"/>
    <n v="0.9"/>
    <n v="33800"/>
    <n v="25913.3"/>
    <n v="2"/>
    <s v=""/>
    <n v="0"/>
    <n v="7886.7000000000007"/>
  </r>
  <r>
    <s v="TSK-0695"/>
    <s v="PRJ-1005"/>
    <x v="4"/>
    <x v="4"/>
    <s v="Cost Reduction"/>
    <x v="4"/>
    <s v="Launch"/>
    <s v="Launch Task 24"/>
    <s v="Medium"/>
    <x v="2"/>
    <s v="Vertex Systems"/>
    <d v="2025-09-14T00:00:00"/>
    <d v="2025-10-05T00:00:00"/>
    <d v="2025-10-11T00:00:00"/>
    <x v="0"/>
    <n v="1"/>
    <n v="21600"/>
    <n v="22616.28"/>
    <n v="2"/>
    <n v="6"/>
    <n v="0"/>
    <n v="-1016.2799999999988"/>
  </r>
  <r>
    <s v="TSK-0696"/>
    <s v="PRJ-1006"/>
    <x v="5"/>
    <x v="5"/>
    <s v="Automation"/>
    <x v="5"/>
    <s v="Closeout"/>
    <s v="Closeout Task 24"/>
    <s v="High"/>
    <x v="2"/>
    <s v="Internal Team"/>
    <d v="2025-05-27T00:00:00"/>
    <d v="2025-06-19T00:00:00"/>
    <m/>
    <x v="0"/>
    <n v="0.6"/>
    <n v="13100"/>
    <n v="15744.77"/>
    <n v="2"/>
    <s v=""/>
    <n v="0"/>
    <n v="-2644.7700000000004"/>
  </r>
  <r>
    <s v="TSK-0697"/>
    <s v="PRJ-1007"/>
    <x v="6"/>
    <x v="6"/>
    <s v="Process Improvement"/>
    <x v="0"/>
    <s v="Discovery"/>
    <s v="Discovery Task 24"/>
    <s v="High"/>
    <x v="0"/>
    <s v="Internal Team"/>
    <d v="2025-06-07T00:00:00"/>
    <d v="2025-06-16T00:00:00"/>
    <m/>
    <x v="0"/>
    <n v="0"/>
    <n v="36200"/>
    <n v="0"/>
    <n v="1"/>
    <s v=""/>
    <n v="0"/>
    <n v="36200"/>
  </r>
  <r>
    <s v="TSK-0698"/>
    <s v="PRJ-1008"/>
    <x v="7"/>
    <x v="0"/>
    <s v="Facility Upgrade"/>
    <x v="1"/>
    <s v="Planning"/>
    <s v="Planning Task 24"/>
    <s v="Critical"/>
    <x v="0"/>
    <s v="BluePeak Services"/>
    <d v="2025-05-08T00:00:00"/>
    <d v="2025-05-16T00:00:00"/>
    <m/>
    <x v="0"/>
    <n v="0.25"/>
    <n v="12700"/>
    <n v="14449.19"/>
    <n v="2"/>
    <s v=""/>
    <n v="0"/>
    <n v="-1749.1900000000005"/>
  </r>
  <r>
    <s v="TSK-0699"/>
    <s v="PRJ-1009"/>
    <x v="8"/>
    <x v="1"/>
    <s v="Compliance"/>
    <x v="2"/>
    <s v="Requirements"/>
    <s v="Requirements Task 24"/>
    <s v="Medium"/>
    <x v="1"/>
    <s v="BluePeak Services"/>
    <d v="2026-05-22T00:00:00"/>
    <d v="2026-06-19T00:00:00"/>
    <m/>
    <x v="3"/>
    <n v="0"/>
    <n v="38900"/>
    <n v="0"/>
    <n v="5"/>
    <s v=""/>
    <n v="0"/>
    <n v="38900"/>
  </r>
  <r>
    <s v="TSK-0700"/>
    <s v="PRJ-1010"/>
    <x v="9"/>
    <x v="2"/>
    <s v="Vendor Transition"/>
    <x v="3"/>
    <s v="Configuration"/>
    <s v="Configuration Task 24"/>
    <s v="High"/>
    <x v="1"/>
    <s v="Internal Team"/>
    <d v="2025-05-31T00:00:00"/>
    <d v="2025-06-24T00:00:00"/>
    <d v="2025-07-01T00:00:00"/>
    <x v="0"/>
    <n v="1"/>
    <n v="5400"/>
    <n v="6671.29"/>
    <n v="2"/>
    <n v="7"/>
    <n v="0"/>
    <n v="-1271.29"/>
  </r>
  <r>
    <s v="TSK-0701"/>
    <s v="PRJ-1011"/>
    <x v="10"/>
    <x v="3"/>
    <s v="System Implementation"/>
    <x v="4"/>
    <s v="Execution"/>
    <s v="Execution Task 24"/>
    <s v="Medium"/>
    <x v="0"/>
    <s v="Vertex Systems"/>
    <d v="2026-01-17T00:00:00"/>
    <d v="2026-02-05T00:00:00"/>
    <d v="2026-01-27T00:00:00"/>
    <x v="0"/>
    <n v="1"/>
    <n v="24300"/>
    <n v="22550.76"/>
    <n v="1"/>
    <n v="0"/>
    <n v="0"/>
    <n v="1749.2400000000016"/>
  </r>
  <r>
    <s v="TSK-0702"/>
    <s v="PRJ-1012"/>
    <x v="11"/>
    <x v="4"/>
    <s v="Cost Reduction"/>
    <x v="5"/>
    <s v="Testing"/>
    <s v="Testing Task 24"/>
    <s v="High"/>
    <x v="2"/>
    <s v="Internal Team"/>
    <d v="2026-06-18T00:00:00"/>
    <d v="2026-07-14T00:00:00"/>
    <m/>
    <x v="2"/>
    <n v="0.85"/>
    <n v="33900"/>
    <n v="34614.160000000003"/>
    <n v="3"/>
    <s v=""/>
    <n v="0"/>
    <n v="-714.16000000000349"/>
  </r>
  <r>
    <s v="TSK-0703"/>
    <s v="PRJ-1013"/>
    <x v="12"/>
    <x v="5"/>
    <s v="Automation"/>
    <x v="0"/>
    <s v="Training"/>
    <s v="Training Task 24"/>
    <s v="Low"/>
    <x v="0"/>
    <s v="Internal Team"/>
    <d v="2026-01-24T00:00:00"/>
    <d v="2026-02-04T00:00:00"/>
    <d v="2026-02-04T00:00:00"/>
    <x v="0"/>
    <n v="1"/>
    <n v="3900"/>
    <n v="3327.31"/>
    <n v="1"/>
    <n v="0"/>
    <n v="0"/>
    <n v="572.69000000000005"/>
  </r>
  <r>
    <s v="TSK-0704"/>
    <s v="PRJ-1014"/>
    <x v="13"/>
    <x v="6"/>
    <s v="Process Improvement"/>
    <x v="1"/>
    <s v="Launch"/>
    <s v="Launch Task 24"/>
    <s v="Low"/>
    <x v="2"/>
    <s v="Apex Solutions"/>
    <d v="2025-04-23T00:00:00"/>
    <d v="2025-05-04T00:00:00"/>
    <d v="2025-05-12T00:00:00"/>
    <x v="0"/>
    <n v="1"/>
    <n v="32600"/>
    <n v="31938.27"/>
    <n v="2"/>
    <n v="8"/>
    <n v="0"/>
    <n v="661.72999999999956"/>
  </r>
  <r>
    <s v="TSK-0705"/>
    <s v="PRJ-1015"/>
    <x v="14"/>
    <x v="0"/>
    <s v="Facility Upgrade"/>
    <x v="2"/>
    <s v="Closeout"/>
    <s v="Closeout Task 24"/>
    <s v="Critical"/>
    <x v="2"/>
    <s v="Summit Partners"/>
    <d v="2025-11-17T00:00:00"/>
    <d v="2025-12-12T00:00:00"/>
    <d v="2025-12-13T00:00:00"/>
    <x v="0"/>
    <n v="1"/>
    <n v="30700"/>
    <n v="31251.63"/>
    <n v="3"/>
    <n v="1"/>
    <n v="0"/>
    <n v="-551.63000000000102"/>
  </r>
  <r>
    <s v="TSK-0706"/>
    <s v="PRJ-1016"/>
    <x v="15"/>
    <x v="1"/>
    <s v="Compliance"/>
    <x v="3"/>
    <s v="Discovery"/>
    <s v="Discovery Task 24"/>
    <s v="High"/>
    <x v="2"/>
    <s v="BluePeak Services"/>
    <d v="2025-09-10T00:00:00"/>
    <d v="2025-09-30T00:00:00"/>
    <d v="2025-10-06T00:00:00"/>
    <x v="0"/>
    <n v="1"/>
    <n v="41100"/>
    <n v="38425.339999999997"/>
    <n v="0"/>
    <n v="6"/>
    <n v="0"/>
    <n v="2674.6600000000035"/>
  </r>
  <r>
    <s v="TSK-0707"/>
    <s v="PRJ-1017"/>
    <x v="16"/>
    <x v="2"/>
    <s v="Vendor Transition"/>
    <x v="4"/>
    <s v="Planning"/>
    <s v="Planning Task 24"/>
    <s v="Medium"/>
    <x v="0"/>
    <s v="Summit Partners"/>
    <d v="2025-03-23T00:00:00"/>
    <d v="2025-04-04T00:00:00"/>
    <m/>
    <x v="2"/>
    <n v="0.4"/>
    <n v="41300"/>
    <n v="49944.22"/>
    <n v="0"/>
    <s v=""/>
    <n v="0"/>
    <n v="-8644.2200000000012"/>
  </r>
  <r>
    <s v="TSK-0708"/>
    <s v="PRJ-1018"/>
    <x v="17"/>
    <x v="3"/>
    <s v="System Implementation"/>
    <x v="5"/>
    <s v="Requirements"/>
    <s v="Requirements Task 24"/>
    <s v="High"/>
    <x v="0"/>
    <s v="Internal Team"/>
    <d v="2025-02-10T00:00:00"/>
    <d v="2025-03-11T00:00:00"/>
    <d v="2025-03-02T00:00:00"/>
    <x v="0"/>
    <n v="1"/>
    <n v="22900"/>
    <n v="22886.3"/>
    <n v="0"/>
    <n v="0"/>
    <n v="0"/>
    <n v="13.700000000000728"/>
  </r>
  <r>
    <s v="TSK-0709"/>
    <s v="PRJ-1019"/>
    <x v="18"/>
    <x v="4"/>
    <s v="Cost Reduction"/>
    <x v="0"/>
    <s v="Configuration"/>
    <s v="Configuration Task 24"/>
    <s v="Medium"/>
    <x v="0"/>
    <s v="BluePeak Services"/>
    <d v="2025-03-19T00:00:00"/>
    <d v="2025-04-17T00:00:00"/>
    <m/>
    <x v="3"/>
    <n v="0"/>
    <n v="12900"/>
    <n v="0"/>
    <n v="2"/>
    <s v=""/>
    <n v="0"/>
    <n v="12900"/>
  </r>
  <r>
    <s v="TSK-0710"/>
    <s v="PRJ-1020"/>
    <x v="19"/>
    <x v="5"/>
    <s v="Automation"/>
    <x v="1"/>
    <s v="Execution"/>
    <s v="Execution Task 24"/>
    <s v="High"/>
    <x v="2"/>
    <s v="Internal Team"/>
    <d v="2025-05-04T00:00:00"/>
    <d v="2025-05-31T00:00:00"/>
    <m/>
    <x v="3"/>
    <n v="0"/>
    <n v="29400"/>
    <n v="0"/>
    <n v="0"/>
    <s v=""/>
    <n v="0"/>
    <n v="29400"/>
  </r>
  <r>
    <s v="TSK-0711"/>
    <s v="PRJ-1021"/>
    <x v="20"/>
    <x v="6"/>
    <s v="Process Improvement"/>
    <x v="2"/>
    <s v="Testing"/>
    <s v="Testing Task 24"/>
    <s v="Medium"/>
    <x v="0"/>
    <s v="Northstar Consulting"/>
    <d v="2025-07-24T00:00:00"/>
    <d v="2025-08-14T00:00:00"/>
    <m/>
    <x v="3"/>
    <n v="0"/>
    <n v="8400"/>
    <n v="0"/>
    <n v="1"/>
    <s v=""/>
    <n v="0"/>
    <n v="8400"/>
  </r>
  <r>
    <s v="TSK-0712"/>
    <s v="PRJ-1022"/>
    <x v="21"/>
    <x v="0"/>
    <s v="Facility Upgrade"/>
    <x v="3"/>
    <s v="Training"/>
    <s v="Training Task 24"/>
    <s v="High"/>
    <x v="2"/>
    <s v="Summit Partners"/>
    <d v="2026-01-04T00:00:00"/>
    <d v="2026-02-01T00:00:00"/>
    <d v="2026-01-20T00:00:00"/>
    <x v="0"/>
    <n v="1"/>
    <n v="7300"/>
    <n v="7936.03"/>
    <n v="3"/>
    <n v="0"/>
    <n v="0"/>
    <n v="-636.02999999999975"/>
  </r>
  <r>
    <s v="TSK-0713"/>
    <s v="PRJ-1023"/>
    <x v="22"/>
    <x v="1"/>
    <s v="Compliance"/>
    <x v="4"/>
    <s v="Launch"/>
    <s v="Launch Task 24"/>
    <s v="Medium"/>
    <x v="0"/>
    <s v="Internal Team"/>
    <d v="2026-02-12T00:00:00"/>
    <d v="2026-02-20T00:00:00"/>
    <m/>
    <x v="2"/>
    <n v="0.6"/>
    <n v="42600"/>
    <n v="49023.040000000001"/>
    <n v="2"/>
    <s v=""/>
    <n v="0"/>
    <n v="-6423.0400000000009"/>
  </r>
  <r>
    <s v="TSK-0714"/>
    <s v="PRJ-1024"/>
    <x v="23"/>
    <x v="2"/>
    <s v="Vendor Transition"/>
    <x v="5"/>
    <s v="Closeout"/>
    <s v="Closeout Task 24"/>
    <s v="Critical"/>
    <x v="1"/>
    <s v="Northstar Consulting"/>
    <d v="2025-03-18T00:00:00"/>
    <d v="2025-03-23T00:00:00"/>
    <m/>
    <x v="1"/>
    <n v="0.2"/>
    <n v="12900"/>
    <n v="13130.72"/>
    <n v="3"/>
    <s v=""/>
    <n v="0"/>
    <n v="-230.71999999999935"/>
  </r>
  <r>
    <s v="TSK-0715"/>
    <s v="PRJ-1025"/>
    <x v="24"/>
    <x v="3"/>
    <s v="System Implementation"/>
    <x v="0"/>
    <s v="Discovery"/>
    <s v="Discovery Task 24"/>
    <s v="High"/>
    <x v="2"/>
    <s v="Internal Team"/>
    <d v="2026-01-22T00:00:00"/>
    <d v="2026-01-30T00:00:00"/>
    <m/>
    <x v="1"/>
    <n v="0.1"/>
    <n v="2100"/>
    <n v="2082.7800000000002"/>
    <n v="0"/>
    <s v=""/>
    <n v="0"/>
    <n v="17.2199999999998"/>
  </r>
  <r>
    <s v="TSK-0716"/>
    <s v="PRJ-1026"/>
    <x v="25"/>
    <x v="4"/>
    <s v="Cost Reduction"/>
    <x v="1"/>
    <s v="Planning"/>
    <s v="Planning Task 24"/>
    <s v="Critical"/>
    <x v="2"/>
    <s v="Apex Solutions"/>
    <d v="2025-06-13T00:00:00"/>
    <d v="2025-07-08T00:00:00"/>
    <m/>
    <x v="2"/>
    <n v="0.9"/>
    <n v="36900"/>
    <n v="36507.599999999999"/>
    <n v="1"/>
    <s v=""/>
    <n v="0"/>
    <n v="392.40000000000146"/>
  </r>
  <r>
    <s v="TSK-0717"/>
    <s v="PRJ-1027"/>
    <x v="26"/>
    <x v="5"/>
    <s v="Automation"/>
    <x v="2"/>
    <s v="Requirements"/>
    <s v="Requirements Task 24"/>
    <s v="Medium"/>
    <x v="0"/>
    <s v="Internal Team"/>
    <d v="2026-03-03T00:00:00"/>
    <d v="2026-04-01T00:00:00"/>
    <m/>
    <x v="2"/>
    <n v="0.85"/>
    <n v="9700"/>
    <n v="11652.44"/>
    <n v="2"/>
    <s v=""/>
    <n v="0"/>
    <n v="-1952.4400000000005"/>
  </r>
  <r>
    <s v="TSK-0718"/>
    <s v="PRJ-1028"/>
    <x v="27"/>
    <x v="6"/>
    <s v="Process Improvement"/>
    <x v="3"/>
    <s v="Configuration"/>
    <s v="Configuration Task 24"/>
    <s v="Low"/>
    <x v="1"/>
    <s v="Internal Team"/>
    <d v="2026-03-29T00:00:00"/>
    <d v="2026-04-08T00:00:00"/>
    <m/>
    <x v="2"/>
    <n v="0.85"/>
    <n v="29700"/>
    <n v="37026.97"/>
    <n v="4"/>
    <s v=""/>
    <n v="0"/>
    <n v="-7326.9700000000012"/>
  </r>
  <r>
    <s v="TSK-0719"/>
    <s v="PRJ-1029"/>
    <x v="28"/>
    <x v="0"/>
    <s v="Facility Upgrade"/>
    <x v="4"/>
    <s v="Execution"/>
    <s v="Execution Task 24"/>
    <s v="High"/>
    <x v="1"/>
    <s v="Internal Team"/>
    <d v="2026-02-23T00:00:00"/>
    <d v="2026-03-20T00:00:00"/>
    <m/>
    <x v="2"/>
    <n v="0.6"/>
    <n v="33500"/>
    <n v="37971.760000000002"/>
    <n v="3"/>
    <s v=""/>
    <n v="0"/>
    <n v="-4471.760000000002"/>
  </r>
  <r>
    <s v="TSK-0720"/>
    <s v="PRJ-1030"/>
    <x v="29"/>
    <x v="1"/>
    <s v="Compliance"/>
    <x v="5"/>
    <s v="Training"/>
    <s v="Training Task 24"/>
    <s v="Low"/>
    <x v="0"/>
    <s v="Internal Team"/>
    <d v="2026-01-10T00:00:00"/>
    <d v="2026-02-01T00:00:00"/>
    <d v="2026-02-06T00:00:00"/>
    <x v="0"/>
    <n v="1"/>
    <n v="43600"/>
    <n v="37976.04"/>
    <n v="0"/>
    <n v="5"/>
    <n v="0"/>
    <n v="5623.9599999999991"/>
  </r>
  <r>
    <s v="TSK-0721"/>
    <s v="PRJ-1001"/>
    <x v="0"/>
    <x v="0"/>
    <s v="Facility Upgrade"/>
    <x v="0"/>
    <s v="Launch"/>
    <s v="Launch Task 25"/>
    <s v="Low"/>
    <x v="0"/>
    <s v="Northstar Consulting"/>
    <d v="2026-02-14T00:00:00"/>
    <d v="2026-03-01T00:00:00"/>
    <d v="2026-03-13T00:00:00"/>
    <x v="0"/>
    <n v="1"/>
    <n v="3300"/>
    <n v="3931.87"/>
    <n v="2"/>
    <n v="12"/>
    <n v="0"/>
    <n v="-631.86999999999989"/>
  </r>
  <r>
    <s v="TSK-0722"/>
    <s v="PRJ-1002"/>
    <x v="1"/>
    <x v="1"/>
    <s v="Compliance"/>
    <x v="1"/>
    <s v="Closeout"/>
    <s v="Closeout Task 25"/>
    <s v="Medium"/>
    <x v="0"/>
    <s v="Apex Solutions"/>
    <d v="2025-03-26T00:00:00"/>
    <d v="2025-04-08T00:00:00"/>
    <d v="2025-04-14T00:00:00"/>
    <x v="0"/>
    <n v="1"/>
    <n v="20300"/>
    <n v="20579.509999999998"/>
    <n v="2"/>
    <n v="6"/>
    <n v="0"/>
    <n v="-279.5099999999984"/>
  </r>
  <r>
    <s v="TSK-0723"/>
    <s v="PRJ-1003"/>
    <x v="2"/>
    <x v="2"/>
    <s v="Vendor Transition"/>
    <x v="2"/>
    <s v="Discovery"/>
    <s v="Discovery Task 25"/>
    <s v="Critical"/>
    <x v="0"/>
    <s v="BluePeak Services"/>
    <d v="2025-03-30T00:00:00"/>
    <d v="2025-04-25T00:00:00"/>
    <m/>
    <x v="0"/>
    <n v="0.6"/>
    <n v="13800"/>
    <n v="15572.79"/>
    <n v="0"/>
    <s v=""/>
    <n v="0"/>
    <n v="-1772.7900000000009"/>
  </r>
  <r>
    <s v="TSK-0724"/>
    <s v="PRJ-1004"/>
    <x v="3"/>
    <x v="3"/>
    <s v="System Implementation"/>
    <x v="3"/>
    <s v="Planning"/>
    <s v="Planning Task 25"/>
    <s v="High"/>
    <x v="0"/>
    <s v="Internal Team"/>
    <d v="2026-03-03T00:00:00"/>
    <d v="2026-03-16T00:00:00"/>
    <d v="2026-03-01T00:00:00"/>
    <x v="0"/>
    <n v="1"/>
    <n v="25700"/>
    <n v="26593.23"/>
    <n v="3"/>
    <n v="0"/>
    <n v="0"/>
    <n v="-893.22999999999956"/>
  </r>
  <r>
    <s v="TSK-0725"/>
    <s v="PRJ-1005"/>
    <x v="4"/>
    <x v="4"/>
    <s v="Cost Reduction"/>
    <x v="4"/>
    <s v="Requirements"/>
    <s v="Requirements Task 25"/>
    <s v="Medium"/>
    <x v="0"/>
    <s v="Internal Team"/>
    <d v="2025-07-11T00:00:00"/>
    <d v="2025-07-15T00:00:00"/>
    <d v="2025-07-12T00:00:00"/>
    <x v="0"/>
    <n v="1"/>
    <n v="8600"/>
    <n v="8312.16"/>
    <n v="1"/>
    <n v="0"/>
    <n v="0"/>
    <n v="287.84000000000015"/>
  </r>
  <r>
    <s v="TSK-0726"/>
    <s v="PRJ-1006"/>
    <x v="5"/>
    <x v="5"/>
    <s v="Automation"/>
    <x v="5"/>
    <s v="Configuration"/>
    <s v="Configuration Task 25"/>
    <s v="High"/>
    <x v="0"/>
    <s v="Internal Team"/>
    <d v="2025-10-01T00:00:00"/>
    <d v="2025-10-19T00:00:00"/>
    <m/>
    <x v="0"/>
    <n v="0.25"/>
    <n v="38300"/>
    <n v="40516.57"/>
    <n v="1"/>
    <s v=""/>
    <n v="0"/>
    <n v="-2216.5699999999997"/>
  </r>
  <r>
    <s v="TSK-0727"/>
    <s v="PRJ-1007"/>
    <x v="6"/>
    <x v="6"/>
    <s v="Process Improvement"/>
    <x v="0"/>
    <s v="Execution"/>
    <s v="Execution Task 25"/>
    <s v="Low"/>
    <x v="1"/>
    <s v="Internal Team"/>
    <d v="2025-06-12T00:00:00"/>
    <d v="2025-07-08T00:00:00"/>
    <d v="2025-07-08T00:00:00"/>
    <x v="0"/>
    <n v="1"/>
    <n v="27000"/>
    <n v="35077.75"/>
    <n v="0"/>
    <n v="0"/>
    <n v="0"/>
    <n v="-8077.75"/>
  </r>
  <r>
    <s v="TSK-0728"/>
    <s v="PRJ-1008"/>
    <x v="7"/>
    <x v="0"/>
    <s v="Facility Upgrade"/>
    <x v="1"/>
    <s v="Testing"/>
    <s v="Testing Task 25"/>
    <s v="Medium"/>
    <x v="2"/>
    <s v="Internal Team"/>
    <d v="2025-04-06T00:00:00"/>
    <d v="2025-04-16T00:00:00"/>
    <d v="2025-04-09T00:00:00"/>
    <x v="0"/>
    <n v="1"/>
    <n v="30900"/>
    <n v="32110.41"/>
    <n v="2"/>
    <n v="0"/>
    <n v="0"/>
    <n v="-1210.4099999999999"/>
  </r>
  <r>
    <s v="TSK-0729"/>
    <s v="PRJ-1009"/>
    <x v="8"/>
    <x v="1"/>
    <s v="Compliance"/>
    <x v="2"/>
    <s v="Training"/>
    <s v="Training Task 25"/>
    <s v="High"/>
    <x v="2"/>
    <s v="Internal Team"/>
    <d v="2026-02-14T00:00:00"/>
    <d v="2026-03-15T00:00:00"/>
    <m/>
    <x v="2"/>
    <n v="0.25"/>
    <n v="5000"/>
    <n v="5492.06"/>
    <n v="0"/>
    <s v=""/>
    <n v="0"/>
    <n v="-492.0600000000004"/>
  </r>
  <r>
    <s v="TSK-0730"/>
    <s v="PRJ-1010"/>
    <x v="9"/>
    <x v="2"/>
    <s v="Vendor Transition"/>
    <x v="3"/>
    <s v="Launch"/>
    <s v="Launch Task 25"/>
    <s v="Medium"/>
    <x v="1"/>
    <s v="Northstar Consulting"/>
    <d v="2025-02-28T00:00:00"/>
    <d v="2025-03-13T00:00:00"/>
    <m/>
    <x v="1"/>
    <n v="0.65"/>
    <n v="42900"/>
    <n v="42432.17"/>
    <n v="5"/>
    <s v=""/>
    <n v="0"/>
    <n v="467.83000000000175"/>
  </r>
  <r>
    <s v="TSK-0731"/>
    <s v="PRJ-1011"/>
    <x v="10"/>
    <x v="3"/>
    <s v="System Implementation"/>
    <x v="4"/>
    <s v="Closeout"/>
    <s v="Closeout Task 25"/>
    <s v="High"/>
    <x v="1"/>
    <s v="Apex Solutions"/>
    <d v="2026-02-10T00:00:00"/>
    <d v="2026-03-12T00:00:00"/>
    <m/>
    <x v="3"/>
    <n v="0"/>
    <n v="29500"/>
    <n v="0"/>
    <n v="3"/>
    <s v=""/>
    <n v="0"/>
    <n v="29500"/>
  </r>
  <r>
    <s v="TSK-0732"/>
    <s v="PRJ-1012"/>
    <x v="11"/>
    <x v="4"/>
    <s v="Cost Reduction"/>
    <x v="5"/>
    <s v="Discovery"/>
    <s v="Discovery Task 25"/>
    <s v="Low"/>
    <x v="1"/>
    <s v="Internal Team"/>
    <d v="2026-05-02T00:00:00"/>
    <d v="2026-05-13T00:00:00"/>
    <m/>
    <x v="3"/>
    <n v="0"/>
    <n v="43500"/>
    <n v="0"/>
    <n v="3"/>
    <s v=""/>
    <n v="0"/>
    <n v="43500"/>
  </r>
  <r>
    <s v="TSK-0733"/>
    <s v="PRJ-1013"/>
    <x v="12"/>
    <x v="5"/>
    <s v="Automation"/>
    <x v="0"/>
    <s v="Planning"/>
    <s v="Planning Task 25"/>
    <s v="High"/>
    <x v="0"/>
    <s v="Vertex Systems"/>
    <d v="2025-12-23T00:00:00"/>
    <d v="2026-01-15T00:00:00"/>
    <d v="2026-01-15T00:00:00"/>
    <x v="0"/>
    <n v="1"/>
    <n v="22900"/>
    <n v="22305.97"/>
    <n v="0"/>
    <n v="0"/>
    <n v="0"/>
    <n v="594.02999999999884"/>
  </r>
  <r>
    <s v="TSK-0734"/>
    <s v="PRJ-1014"/>
    <x v="13"/>
    <x v="6"/>
    <s v="Process Improvement"/>
    <x v="1"/>
    <s v="Requirements"/>
    <s v="Requirements Task 25"/>
    <s v="Medium"/>
    <x v="2"/>
    <s v="Internal Team"/>
    <d v="2025-03-15T00:00:00"/>
    <d v="2025-04-13T00:00:00"/>
    <m/>
    <x v="2"/>
    <n v="0.4"/>
    <n v="22800"/>
    <n v="25129.84"/>
    <n v="3"/>
    <s v=""/>
    <n v="0"/>
    <n v="-2329.84"/>
  </r>
  <r>
    <s v="TSK-0735"/>
    <s v="PRJ-1015"/>
    <x v="14"/>
    <x v="0"/>
    <s v="Facility Upgrade"/>
    <x v="2"/>
    <s v="Configuration"/>
    <s v="Configuration Task 25"/>
    <s v="Medium"/>
    <x v="0"/>
    <s v="Vertex Systems"/>
    <d v="2026-02-06T00:00:00"/>
    <d v="2026-02-28T00:00:00"/>
    <m/>
    <x v="2"/>
    <n v="0.85"/>
    <n v="20000"/>
    <n v="18749.75"/>
    <n v="2"/>
    <s v=""/>
    <n v="0"/>
    <n v="1250.25"/>
  </r>
  <r>
    <s v="TSK-0736"/>
    <s v="PRJ-1016"/>
    <x v="15"/>
    <x v="1"/>
    <s v="Compliance"/>
    <x v="3"/>
    <s v="Execution"/>
    <s v="Execution Task 25"/>
    <s v="Medium"/>
    <x v="0"/>
    <s v="Vertex Systems"/>
    <d v="2025-09-18T00:00:00"/>
    <d v="2025-10-06T00:00:00"/>
    <d v="2025-10-10T00:00:00"/>
    <x v="0"/>
    <n v="1"/>
    <n v="29700"/>
    <n v="33466.36"/>
    <n v="2"/>
    <n v="4"/>
    <n v="0"/>
    <n v="-3766.3600000000006"/>
  </r>
  <r>
    <s v="TSK-0737"/>
    <s v="PRJ-1017"/>
    <x v="16"/>
    <x v="2"/>
    <s v="Vendor Transition"/>
    <x v="4"/>
    <s v="Testing"/>
    <s v="Testing Task 25"/>
    <s v="Low"/>
    <x v="2"/>
    <s v="Internal Team"/>
    <d v="2025-02-23T00:00:00"/>
    <d v="2025-03-19T00:00:00"/>
    <d v="2025-03-26T00:00:00"/>
    <x v="0"/>
    <n v="1"/>
    <n v="14400"/>
    <n v="13070.55"/>
    <n v="2"/>
    <n v="7"/>
    <n v="0"/>
    <n v="1329.4500000000007"/>
  </r>
  <r>
    <s v="TSK-0738"/>
    <s v="PRJ-1018"/>
    <x v="17"/>
    <x v="3"/>
    <s v="System Implementation"/>
    <x v="5"/>
    <s v="Training"/>
    <s v="Training Task 25"/>
    <s v="Low"/>
    <x v="0"/>
    <s v="Internal Team"/>
    <d v="2025-02-14T00:00:00"/>
    <d v="2025-03-03T00:00:00"/>
    <d v="2025-03-06T00:00:00"/>
    <x v="0"/>
    <n v="1"/>
    <n v="26200"/>
    <n v="26677.05"/>
    <n v="2"/>
    <n v="3"/>
    <n v="0"/>
    <n v="-477.04999999999927"/>
  </r>
  <r>
    <s v="TSK-0739"/>
    <s v="PRJ-1019"/>
    <x v="18"/>
    <x v="4"/>
    <s v="Cost Reduction"/>
    <x v="0"/>
    <s v="Launch"/>
    <s v="Launch Task 25"/>
    <s v="Low"/>
    <x v="0"/>
    <s v="Internal Team"/>
    <d v="2025-06-20T00:00:00"/>
    <d v="2025-06-28T00:00:00"/>
    <d v="2025-07-01T00:00:00"/>
    <x v="0"/>
    <n v="1"/>
    <n v="19600"/>
    <n v="19444.490000000002"/>
    <n v="1"/>
    <n v="3"/>
    <n v="0"/>
    <n v="155.5099999999984"/>
  </r>
  <r>
    <s v="TSK-0740"/>
    <s v="PRJ-1020"/>
    <x v="19"/>
    <x v="5"/>
    <s v="Automation"/>
    <x v="1"/>
    <s v="Closeout"/>
    <s v="Closeout Task 25"/>
    <s v="High"/>
    <x v="2"/>
    <s v="Internal Team"/>
    <d v="2025-07-03T00:00:00"/>
    <d v="2025-07-16T00:00:00"/>
    <m/>
    <x v="1"/>
    <n v="0.2"/>
    <n v="10700"/>
    <n v="9933.94"/>
    <n v="5"/>
    <s v=""/>
    <n v="0"/>
    <n v="766.05999999999949"/>
  </r>
  <r>
    <s v="TSK-0741"/>
    <s v="PRJ-1021"/>
    <x v="20"/>
    <x v="6"/>
    <s v="Process Improvement"/>
    <x v="2"/>
    <s v="Discovery"/>
    <s v="Discovery Task 25"/>
    <s v="Medium"/>
    <x v="2"/>
    <s v="Internal Team"/>
    <d v="2025-05-09T00:00:00"/>
    <d v="2025-05-12T00:00:00"/>
    <m/>
    <x v="2"/>
    <n v="0.25"/>
    <n v="9000"/>
    <n v="10506.04"/>
    <n v="0"/>
    <s v=""/>
    <n v="0"/>
    <n v="-1506.0400000000009"/>
  </r>
  <r>
    <s v="TSK-0742"/>
    <s v="PRJ-1022"/>
    <x v="21"/>
    <x v="0"/>
    <s v="Facility Upgrade"/>
    <x v="3"/>
    <s v="Planning"/>
    <s v="Planning Task 25"/>
    <s v="High"/>
    <x v="1"/>
    <s v="Northstar Consulting"/>
    <d v="2026-01-23T00:00:00"/>
    <d v="2026-02-04T00:00:00"/>
    <d v="2026-02-08T00:00:00"/>
    <x v="0"/>
    <n v="1"/>
    <n v="43900"/>
    <n v="42340.11"/>
    <n v="4"/>
    <n v="4"/>
    <n v="0"/>
    <n v="1559.8899999999994"/>
  </r>
  <r>
    <s v="TSK-0743"/>
    <s v="PRJ-1023"/>
    <x v="22"/>
    <x v="1"/>
    <s v="Compliance"/>
    <x v="4"/>
    <s v="Requirements"/>
    <s v="Requirements Task 25"/>
    <s v="High"/>
    <x v="0"/>
    <s v="Internal Team"/>
    <d v="2025-12-12T00:00:00"/>
    <d v="2025-12-19T00:00:00"/>
    <m/>
    <x v="3"/>
    <n v="0"/>
    <n v="6400"/>
    <n v="0"/>
    <n v="2"/>
    <s v=""/>
    <n v="0"/>
    <n v="6400"/>
  </r>
  <r>
    <s v="TSK-0744"/>
    <s v="PRJ-1024"/>
    <x v="23"/>
    <x v="2"/>
    <s v="Vendor Transition"/>
    <x v="5"/>
    <s v="Configuration"/>
    <s v="Configuration Task 25"/>
    <s v="High"/>
    <x v="0"/>
    <s v="Northstar Consulting"/>
    <d v="2025-03-21T00:00:00"/>
    <d v="2025-04-06T00:00:00"/>
    <d v="2025-04-13T00:00:00"/>
    <x v="0"/>
    <n v="1"/>
    <n v="5200"/>
    <n v="4750.72"/>
    <n v="1"/>
    <n v="7"/>
    <n v="0"/>
    <n v="449.27999999999975"/>
  </r>
  <r>
    <s v="TSK-0745"/>
    <s v="PRJ-1025"/>
    <x v="24"/>
    <x v="3"/>
    <s v="System Implementation"/>
    <x v="0"/>
    <s v="Execution"/>
    <s v="Execution Task 25"/>
    <s v="Medium"/>
    <x v="0"/>
    <s v="BluePeak Services"/>
    <d v="2026-02-10T00:00:00"/>
    <d v="2026-02-28T00:00:00"/>
    <d v="2026-02-26T00:00:00"/>
    <x v="0"/>
    <n v="1"/>
    <n v="38900"/>
    <n v="37210.370000000003"/>
    <n v="1"/>
    <n v="0"/>
    <n v="0"/>
    <n v="1689.6299999999974"/>
  </r>
  <r>
    <s v="TSK-0746"/>
    <s v="PRJ-1026"/>
    <x v="25"/>
    <x v="4"/>
    <s v="Cost Reduction"/>
    <x v="1"/>
    <s v="Testing"/>
    <s v="Testing Task 25"/>
    <s v="Medium"/>
    <x v="2"/>
    <s v="Internal Team"/>
    <d v="2025-04-19T00:00:00"/>
    <d v="2025-04-25T00:00:00"/>
    <d v="2025-04-23T00:00:00"/>
    <x v="0"/>
    <n v="1"/>
    <n v="38400"/>
    <n v="27706.39"/>
    <n v="2"/>
    <n v="0"/>
    <n v="0"/>
    <n v="10693.61"/>
  </r>
  <r>
    <s v="TSK-0747"/>
    <s v="PRJ-1027"/>
    <x v="26"/>
    <x v="5"/>
    <s v="Automation"/>
    <x v="2"/>
    <s v="Training"/>
    <s v="Training Task 25"/>
    <s v="Medium"/>
    <x v="0"/>
    <s v="Apex Solutions"/>
    <d v="2026-05-11T00:00:00"/>
    <d v="2026-05-30T00:00:00"/>
    <d v="2026-05-23T00:00:00"/>
    <x v="0"/>
    <n v="1"/>
    <n v="28100"/>
    <n v="26194.67"/>
    <n v="0"/>
    <n v="0"/>
    <n v="0"/>
    <n v="1905.3300000000017"/>
  </r>
  <r>
    <s v="TSK-0748"/>
    <s v="PRJ-1028"/>
    <x v="27"/>
    <x v="6"/>
    <s v="Process Improvement"/>
    <x v="3"/>
    <s v="Launch"/>
    <s v="Launch Task 25"/>
    <s v="Medium"/>
    <x v="2"/>
    <s v="Apex Solutions"/>
    <d v="2026-03-22T00:00:00"/>
    <d v="2026-04-12T00:00:00"/>
    <m/>
    <x v="2"/>
    <n v="0.25"/>
    <n v="13200"/>
    <n v="11647.76"/>
    <n v="0"/>
    <s v=""/>
    <n v="0"/>
    <n v="1552.2399999999998"/>
  </r>
  <r>
    <s v="TSK-0749"/>
    <s v="PRJ-1029"/>
    <x v="28"/>
    <x v="0"/>
    <s v="Facility Upgrade"/>
    <x v="4"/>
    <s v="Closeout"/>
    <s v="Closeout Task 25"/>
    <s v="Low"/>
    <x v="2"/>
    <s v="Northstar Consulting"/>
    <d v="2026-04-24T00:00:00"/>
    <d v="2026-05-19T00:00:00"/>
    <m/>
    <x v="2"/>
    <n v="0.4"/>
    <n v="14000"/>
    <n v="14782.2"/>
    <n v="3"/>
    <s v=""/>
    <n v="0"/>
    <n v="-782.20000000000073"/>
  </r>
  <r>
    <s v="TSK-0750"/>
    <s v="PRJ-1030"/>
    <x v="29"/>
    <x v="1"/>
    <s v="Compliance"/>
    <x v="5"/>
    <s v="Planning"/>
    <s v="Planning Task 25"/>
    <s v="Medium"/>
    <x v="0"/>
    <s v="BluePeak Services"/>
    <d v="2026-01-06T00:00:00"/>
    <d v="2026-01-28T00:00:00"/>
    <d v="2026-01-28T00:00:00"/>
    <x v="0"/>
    <n v="1"/>
    <n v="39900"/>
    <n v="35881.08"/>
    <n v="1"/>
    <n v="0"/>
    <n v="0"/>
    <n v="4018.919999999998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4BB5D0-E14B-8049-96D0-9C92CD5161C8}" name="PivotTable1" cacheId="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11" firstHeaderRow="1" firstDataRow="2" firstDataCol="1"/>
  <pivotFields count="22">
    <pivotField dataField="1" showAll="0"/>
    <pivotField showAll="0"/>
    <pivotField showAll="0"/>
    <pivotField showAll="0"/>
    <pivotField showAll="0"/>
    <pivotField axis="axisRow" multipleItemSelectionAllowed="1" showAll="0">
      <items count="7">
        <item x="0"/>
        <item x="4"/>
        <item x="1"/>
        <item x="2"/>
        <item x="5"/>
        <item x="3"/>
        <item t="default"/>
      </items>
    </pivotField>
    <pivotField showAll="0"/>
    <pivotField showAll="0"/>
    <pivotField showAll="0"/>
    <pivotField showAll="0"/>
    <pivotField showAll="0"/>
    <pivotField numFmtId="164" showAll="0"/>
    <pivotField numFmtId="164" showAll="0"/>
    <pivotField showAll="0"/>
    <pivotField axis="axisCol" showAll="0">
      <items count="6">
        <item x="0"/>
        <item x="2"/>
        <item x="3"/>
        <item x="1"/>
        <item f="1" x="4"/>
        <item t="default"/>
      </items>
    </pivotField>
    <pivotField numFmtId="9" showAll="0"/>
    <pivotField numFmtId="165" showAll="0"/>
    <pivotField numFmtId="165" showAll="0"/>
    <pivotField showAll="0"/>
    <pivotField showAll="0"/>
    <pivotField showAll="0"/>
    <pivotField numFmtId="4" showAll="0"/>
  </pivotFields>
  <rowFields count="1">
    <field x="5"/>
  </rowFields>
  <rowItems count="7">
    <i>
      <x/>
    </i>
    <i>
      <x v="1"/>
    </i>
    <i>
      <x v="2"/>
    </i>
    <i>
      <x v="3"/>
    </i>
    <i>
      <x v="4"/>
    </i>
    <i>
      <x v="5"/>
    </i>
    <i t="grand">
      <x/>
    </i>
  </rowItems>
  <colFields count="1">
    <field x="14"/>
  </colFields>
  <colItems count="6">
    <i>
      <x/>
    </i>
    <i>
      <x v="1"/>
    </i>
    <i>
      <x v="2"/>
    </i>
    <i>
      <x v="3"/>
    </i>
    <i>
      <x v="4"/>
    </i>
    <i t="grand">
      <x/>
    </i>
  </colItems>
  <dataFields count="1">
    <dataField name="Count of Task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3DAC351-6CC6-1840-B650-3EA87C05F696}" name="PivotTable3" cacheId="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4" firstHeaderRow="1" firstDataRow="1" firstDataCol="1"/>
  <pivotFields count="22">
    <pivotField showAll="0"/>
    <pivotField showAll="0"/>
    <pivotField axis="axisRow" showAll="0" sortType="descending">
      <items count="31">
        <item x="4"/>
        <item x="11"/>
        <item x="18"/>
        <item x="25"/>
        <item x="2"/>
        <item x="9"/>
        <item x="16"/>
        <item x="23"/>
        <item x="3"/>
        <item x="10"/>
        <item x="17"/>
        <item x="24"/>
        <item x="5"/>
        <item x="12"/>
        <item x="19"/>
        <item x="26"/>
        <item x="0"/>
        <item x="7"/>
        <item x="14"/>
        <item x="21"/>
        <item x="28"/>
        <item x="6"/>
        <item x="13"/>
        <item x="20"/>
        <item x="27"/>
        <item x="1"/>
        <item x="8"/>
        <item x="15"/>
        <item x="22"/>
        <item x="29"/>
        <item t="default"/>
      </items>
      <autoSortScope>
        <pivotArea dataOnly="0" outline="0" fieldPosition="0">
          <references count="1">
            <reference field="4294967294" count="1" selected="0">
              <x v="0"/>
            </reference>
          </references>
        </pivotArea>
      </autoSortScope>
    </pivotField>
    <pivotField showAll="0"/>
    <pivotField showAll="0"/>
    <pivotField axis="axisRow" showAll="0">
      <items count="7">
        <item x="0"/>
        <item x="4"/>
        <item x="1"/>
        <item x="2"/>
        <item x="5"/>
        <item x="3"/>
        <item t="default"/>
      </items>
    </pivotField>
    <pivotField showAll="0"/>
    <pivotField showAll="0"/>
    <pivotField showAll="0"/>
    <pivotField showAll="0"/>
    <pivotField showAll="0"/>
    <pivotField numFmtId="164" showAll="0"/>
    <pivotField numFmtId="164" showAll="0"/>
    <pivotField showAll="0"/>
    <pivotField showAll="0">
      <items count="6">
        <item f="1" x="4"/>
        <item x="0"/>
        <item x="2"/>
        <item x="3"/>
        <item x="1"/>
        <item t="default"/>
      </items>
    </pivotField>
    <pivotField numFmtId="9" showAll="0"/>
    <pivotField numFmtId="165" showAll="0"/>
    <pivotField numFmtId="165" showAll="0"/>
    <pivotField showAll="0"/>
    <pivotField dataField="1" showAll="0"/>
    <pivotField showAll="0"/>
    <pivotField numFmtId="4" showAll="0"/>
  </pivotFields>
  <rowFields count="2">
    <field x="2"/>
    <field x="5"/>
  </rowFields>
  <rowItems count="61">
    <i>
      <x/>
    </i>
    <i r="1">
      <x v="1"/>
    </i>
    <i>
      <x v="25"/>
    </i>
    <i r="1">
      <x v="2"/>
    </i>
    <i>
      <x v="29"/>
    </i>
    <i r="1">
      <x v="4"/>
    </i>
    <i>
      <x v="4"/>
    </i>
    <i r="1">
      <x v="3"/>
    </i>
    <i>
      <x v="17"/>
    </i>
    <i r="1">
      <x v="2"/>
    </i>
    <i>
      <x v="3"/>
    </i>
    <i r="1">
      <x v="2"/>
    </i>
    <i>
      <x v="12"/>
    </i>
    <i r="1">
      <x v="4"/>
    </i>
    <i>
      <x v="26"/>
    </i>
    <i r="1">
      <x v="3"/>
    </i>
    <i>
      <x v="18"/>
    </i>
    <i r="1">
      <x v="3"/>
    </i>
    <i>
      <x v="6"/>
    </i>
    <i r="1">
      <x v="1"/>
    </i>
    <i>
      <x v="24"/>
    </i>
    <i r="1">
      <x v="5"/>
    </i>
    <i>
      <x v="20"/>
    </i>
    <i r="1">
      <x v="1"/>
    </i>
    <i>
      <x v="8"/>
    </i>
    <i r="1">
      <x v="5"/>
    </i>
    <i>
      <x v="28"/>
    </i>
    <i r="1">
      <x v="1"/>
    </i>
    <i>
      <x v="21"/>
    </i>
    <i r="1">
      <x/>
    </i>
    <i>
      <x v="7"/>
    </i>
    <i r="1">
      <x v="4"/>
    </i>
    <i>
      <x v="1"/>
    </i>
    <i r="1">
      <x v="4"/>
    </i>
    <i>
      <x v="22"/>
    </i>
    <i r="1">
      <x v="2"/>
    </i>
    <i>
      <x v="5"/>
    </i>
    <i r="1">
      <x v="5"/>
    </i>
    <i>
      <x v="15"/>
    </i>
    <i r="1">
      <x v="3"/>
    </i>
    <i>
      <x v="11"/>
    </i>
    <i r="1">
      <x/>
    </i>
    <i>
      <x v="14"/>
    </i>
    <i r="1">
      <x v="2"/>
    </i>
    <i>
      <x v="23"/>
    </i>
    <i r="1">
      <x v="3"/>
    </i>
    <i>
      <x v="16"/>
    </i>
    <i r="1">
      <x/>
    </i>
    <i>
      <x v="2"/>
    </i>
    <i r="1">
      <x/>
    </i>
    <i>
      <x v="19"/>
    </i>
    <i r="1">
      <x v="5"/>
    </i>
    <i>
      <x v="10"/>
    </i>
    <i r="1">
      <x v="4"/>
    </i>
    <i>
      <x v="27"/>
    </i>
    <i r="1">
      <x v="5"/>
    </i>
    <i>
      <x v="13"/>
    </i>
    <i r="1">
      <x/>
    </i>
    <i>
      <x v="9"/>
    </i>
    <i r="1">
      <x v="1"/>
    </i>
    <i t="grand">
      <x/>
    </i>
  </rowItems>
  <colItems count="1">
    <i/>
  </colItems>
  <dataFields count="1">
    <dataField name="Sum of Days Delayed"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8C74FAB-B0BA-E04D-A211-F98B8FAC8866}" name="PivotTable4" cacheId="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0" firstHeaderRow="0" firstDataRow="1" firstDataCol="1"/>
  <pivotFields count="22">
    <pivotField dataField="1" showAll="0"/>
    <pivotField showAll="0"/>
    <pivotField showAll="0"/>
    <pivotField showAll="0"/>
    <pivotField showAll="0"/>
    <pivotField axis="axisRow" showAll="0">
      <items count="7">
        <item x="0"/>
        <item x="4"/>
        <item x="1"/>
        <item x="2"/>
        <item x="5"/>
        <item x="3"/>
        <item t="default"/>
      </items>
    </pivotField>
    <pivotField showAll="0"/>
    <pivotField showAll="0"/>
    <pivotField showAll="0"/>
    <pivotField showAll="0"/>
    <pivotField showAll="0"/>
    <pivotField numFmtId="164" showAll="0"/>
    <pivotField numFmtId="164" showAll="0"/>
    <pivotField showAll="0"/>
    <pivotField showAll="0">
      <items count="6">
        <item f="1" x="4"/>
        <item x="0"/>
        <item x="2"/>
        <item x="3"/>
        <item x="1"/>
        <item t="default"/>
      </items>
    </pivotField>
    <pivotField numFmtId="9" showAll="0"/>
    <pivotField numFmtId="165" showAll="0"/>
    <pivotField numFmtId="165" showAll="0"/>
    <pivotField showAll="0"/>
    <pivotField dataField="1" showAll="0"/>
    <pivotField dataField="1" showAll="0"/>
    <pivotField numFmtId="4" showAll="0"/>
  </pivotFields>
  <rowFields count="1">
    <field x="5"/>
  </rowFields>
  <rowItems count="7">
    <i>
      <x/>
    </i>
    <i>
      <x v="1"/>
    </i>
    <i>
      <x v="2"/>
    </i>
    <i>
      <x v="3"/>
    </i>
    <i>
      <x v="4"/>
    </i>
    <i>
      <x v="5"/>
    </i>
    <i t="grand">
      <x/>
    </i>
  </rowItems>
  <colFields count="1">
    <field x="-2"/>
  </colFields>
  <colItems count="3">
    <i>
      <x/>
    </i>
    <i i="1">
      <x v="1"/>
    </i>
    <i i="2">
      <x v="2"/>
    </i>
  </colItems>
  <dataFields count="3">
    <dataField name="Sum of Days Delayed" fld="19" baseField="0" baseItem="0"/>
    <dataField name="Count of Task ID" fld="0" subtotal="count" baseField="0" baseItem="0"/>
    <dataField name="Sum of Unique Project Flag"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D84338C-C628-BD49-B542-3F2168B444D0}" name="PivotTable5" cacheId="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2" firstHeaderRow="1" firstDataRow="2" firstDataCol="1"/>
  <pivotFields count="22">
    <pivotField dataField="1" showAll="0"/>
    <pivotField showAll="0"/>
    <pivotField showAll="0"/>
    <pivotField axis="axisRow" showAll="0">
      <items count="8">
        <item x="4"/>
        <item x="2"/>
        <item x="3"/>
        <item x="5"/>
        <item x="0"/>
        <item x="6"/>
        <item x="1"/>
        <item t="default"/>
      </items>
    </pivotField>
    <pivotField showAll="0"/>
    <pivotField showAll="0"/>
    <pivotField showAll="0"/>
    <pivotField showAll="0"/>
    <pivotField showAll="0"/>
    <pivotField axis="axisCol" showAll="0">
      <items count="4">
        <item x="1"/>
        <item x="0"/>
        <item x="2"/>
        <item t="default"/>
      </items>
    </pivotField>
    <pivotField showAll="0"/>
    <pivotField numFmtId="164" showAll="0"/>
    <pivotField numFmtId="164" showAll="0"/>
    <pivotField showAll="0"/>
    <pivotField showAll="0">
      <items count="6">
        <item f="1" x="4"/>
        <item x="0"/>
        <item x="2"/>
        <item x="3"/>
        <item x="1"/>
        <item t="default"/>
      </items>
    </pivotField>
    <pivotField numFmtId="9" showAll="0"/>
    <pivotField numFmtId="165" showAll="0"/>
    <pivotField numFmtId="165" showAll="0"/>
    <pivotField showAll="0"/>
    <pivotField showAll="0"/>
    <pivotField showAll="0"/>
    <pivotField numFmtId="4" showAll="0"/>
  </pivotFields>
  <rowFields count="1">
    <field x="3"/>
  </rowFields>
  <rowItems count="8">
    <i>
      <x/>
    </i>
    <i>
      <x v="1"/>
    </i>
    <i>
      <x v="2"/>
    </i>
    <i>
      <x v="3"/>
    </i>
    <i>
      <x v="4"/>
    </i>
    <i>
      <x v="5"/>
    </i>
    <i>
      <x v="6"/>
    </i>
    <i t="grand">
      <x/>
    </i>
  </rowItems>
  <colFields count="1">
    <field x="9"/>
  </colFields>
  <colItems count="4">
    <i>
      <x/>
    </i>
    <i>
      <x v="1"/>
    </i>
    <i>
      <x v="2"/>
    </i>
    <i t="grand">
      <x/>
    </i>
  </colItems>
  <dataFields count="1">
    <dataField name="Count of Task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46354D8-72D1-9945-BE39-D4A6B8CB2103}" name="PivotTable6" cacheId="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34" firstHeaderRow="0" firstDataRow="1" firstDataCol="1"/>
  <pivotFields count="22">
    <pivotField showAll="0"/>
    <pivotField showAll="0"/>
    <pivotField axis="axisRow" showAll="0" sortType="descending">
      <items count="31">
        <item x="4"/>
        <item x="11"/>
        <item x="18"/>
        <item x="25"/>
        <item x="2"/>
        <item x="9"/>
        <item x="16"/>
        <item x="23"/>
        <item x="3"/>
        <item x="10"/>
        <item x="17"/>
        <item x="24"/>
        <item x="5"/>
        <item x="12"/>
        <item x="19"/>
        <item x="26"/>
        <item x="0"/>
        <item x="7"/>
        <item x="14"/>
        <item x="21"/>
        <item x="28"/>
        <item x="6"/>
        <item x="13"/>
        <item x="20"/>
        <item x="27"/>
        <item x="1"/>
        <item x="8"/>
        <item x="15"/>
        <item x="22"/>
        <item x="29"/>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showAll="0"/>
    <pivotField showAll="0"/>
    <pivotField numFmtId="164" showAll="0"/>
    <pivotField numFmtId="164" showAll="0"/>
    <pivotField showAll="0"/>
    <pivotField showAll="0">
      <items count="6">
        <item f="1" x="4"/>
        <item x="0"/>
        <item x="2"/>
        <item x="3"/>
        <item x="1"/>
        <item t="default"/>
      </items>
    </pivotField>
    <pivotField numFmtId="9" showAll="0"/>
    <pivotField numFmtId="165" showAll="0"/>
    <pivotField numFmtId="165" showAll="0"/>
    <pivotField dataField="1" showAll="0"/>
    <pivotField dataField="1" showAll="0"/>
    <pivotField showAll="0"/>
    <pivotField numFmtId="4" showAll="0"/>
  </pivotFields>
  <rowFields count="1">
    <field x="2"/>
  </rowFields>
  <rowItems count="31">
    <i>
      <x/>
    </i>
    <i>
      <x v="25"/>
    </i>
    <i>
      <x v="29"/>
    </i>
    <i>
      <x v="4"/>
    </i>
    <i>
      <x v="17"/>
    </i>
    <i>
      <x v="3"/>
    </i>
    <i>
      <x v="12"/>
    </i>
    <i>
      <x v="26"/>
    </i>
    <i>
      <x v="18"/>
    </i>
    <i>
      <x v="6"/>
    </i>
    <i>
      <x v="24"/>
    </i>
    <i>
      <x v="20"/>
    </i>
    <i>
      <x v="8"/>
    </i>
    <i>
      <x v="28"/>
    </i>
    <i>
      <x v="21"/>
    </i>
    <i>
      <x v="7"/>
    </i>
    <i>
      <x v="1"/>
    </i>
    <i>
      <x v="22"/>
    </i>
    <i>
      <x v="5"/>
    </i>
    <i>
      <x v="15"/>
    </i>
    <i>
      <x v="11"/>
    </i>
    <i>
      <x v="14"/>
    </i>
    <i>
      <x v="23"/>
    </i>
    <i>
      <x v="16"/>
    </i>
    <i>
      <x v="2"/>
    </i>
    <i>
      <x v="19"/>
    </i>
    <i>
      <x v="10"/>
    </i>
    <i>
      <x v="27"/>
    </i>
    <i>
      <x v="13"/>
    </i>
    <i>
      <x v="9"/>
    </i>
    <i t="grand">
      <x/>
    </i>
  </rowItems>
  <colFields count="1">
    <field x="-2"/>
  </colFields>
  <colItems count="2">
    <i>
      <x/>
    </i>
    <i i="1">
      <x v="1"/>
    </i>
  </colItems>
  <dataFields count="2">
    <dataField name="Sum of Issue Count" fld="18" baseField="0" baseItem="0"/>
    <dataField name="Sum of Days Delayed"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478288C-7701-9243-976B-178C9143CB8E}" name="PivotTable7" cacheId="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34" firstHeaderRow="0" firstDataRow="1" firstDataCol="1"/>
  <pivotFields count="22">
    <pivotField showAll="0"/>
    <pivotField showAll="0"/>
    <pivotField axis="axisRow" showAll="0">
      <items count="31">
        <item x="4"/>
        <item x="11"/>
        <item x="18"/>
        <item x="25"/>
        <item x="2"/>
        <item x="9"/>
        <item x="16"/>
        <item x="23"/>
        <item x="3"/>
        <item x="10"/>
        <item x="17"/>
        <item x="24"/>
        <item x="5"/>
        <item x="12"/>
        <item x="19"/>
        <item x="26"/>
        <item x="0"/>
        <item x="7"/>
        <item x="14"/>
        <item x="21"/>
        <item x="28"/>
        <item x="6"/>
        <item x="13"/>
        <item x="20"/>
        <item x="27"/>
        <item x="1"/>
        <item x="8"/>
        <item x="15"/>
        <item x="22"/>
        <item x="29"/>
        <item t="default"/>
      </items>
    </pivotField>
    <pivotField showAll="0"/>
    <pivotField showAll="0"/>
    <pivotField showAll="0"/>
    <pivotField showAll="0"/>
    <pivotField showAll="0"/>
    <pivotField showAll="0"/>
    <pivotField showAll="0"/>
    <pivotField showAll="0"/>
    <pivotField numFmtId="164" showAll="0"/>
    <pivotField numFmtId="164" showAll="0"/>
    <pivotField showAll="0"/>
    <pivotField showAll="0">
      <items count="6">
        <item f="1" x="4"/>
        <item x="0"/>
        <item x="2"/>
        <item x="3"/>
        <item x="1"/>
        <item t="default"/>
      </items>
    </pivotField>
    <pivotField numFmtId="9" showAll="0"/>
    <pivotField numFmtId="165" showAll="0"/>
    <pivotField numFmtId="165" showAll="0"/>
    <pivotField showAll="0"/>
    <pivotField dataField="1" showAll="0"/>
    <pivotField showAll="0"/>
    <pivotField dataField="1" numFmtId="4" showAll="0"/>
  </pivotFields>
  <rowFields count="1">
    <field x="2"/>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Fields count="1">
    <field x="-2"/>
  </colFields>
  <colItems count="2">
    <i>
      <x/>
    </i>
    <i i="1">
      <x v="1"/>
    </i>
  </colItems>
  <dataFields count="2">
    <dataField name="Sum of Days Delayed" fld="19" baseField="0" baseItem="0"/>
    <dataField name="Sum of Budget Variance" fld="21" baseField="0"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362713C-75F3-F84A-9908-8F48A1D380DE}" name="PivotTable8" cacheId="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1" firstHeaderRow="1" firstDataRow="1" firstDataCol="1"/>
  <pivotFields count="22">
    <pivotField showAll="0"/>
    <pivotField showAll="0"/>
    <pivotField axis="axisRow" showAll="0">
      <items count="31">
        <item x="4"/>
        <item x="11"/>
        <item x="18"/>
        <item x="25"/>
        <item x="2"/>
        <item x="9"/>
        <item x="16"/>
        <item x="23"/>
        <item x="3"/>
        <item x="10"/>
        <item x="17"/>
        <item x="24"/>
        <item x="5"/>
        <item x="12"/>
        <item x="19"/>
        <item x="26"/>
        <item x="0"/>
        <item x="7"/>
        <item x="14"/>
        <item x="21"/>
        <item x="28"/>
        <item x="6"/>
        <item x="13"/>
        <item x="20"/>
        <item x="27"/>
        <item x="1"/>
        <item x="8"/>
        <item x="15"/>
        <item x="22"/>
        <item x="29"/>
        <item t="default"/>
      </items>
    </pivotField>
    <pivotField axis="axisRow" showAll="0">
      <items count="8">
        <item x="4"/>
        <item x="2"/>
        <item x="3"/>
        <item x="5"/>
        <item x="0"/>
        <item x="6"/>
        <item x="1"/>
        <item t="default"/>
      </items>
    </pivotField>
    <pivotField showAll="0"/>
    <pivotField showAll="0"/>
    <pivotField showAll="0"/>
    <pivotField showAll="0"/>
    <pivotField showAll="0"/>
    <pivotField showAll="0"/>
    <pivotField showAll="0"/>
    <pivotField numFmtId="164" showAll="0"/>
    <pivotField numFmtId="164" showAll="0"/>
    <pivotField showAll="0"/>
    <pivotField showAll="0">
      <items count="6">
        <item f="1" x="4"/>
        <item x="0"/>
        <item x="2"/>
        <item x="3"/>
        <item x="1"/>
        <item t="default"/>
      </items>
    </pivotField>
    <pivotField numFmtId="9" showAll="0"/>
    <pivotField numFmtId="165" showAll="0"/>
    <pivotField numFmtId="165" showAll="0"/>
    <pivotField showAll="0"/>
    <pivotField showAll="0"/>
    <pivotField showAll="0"/>
    <pivotField dataField="1" numFmtId="4" showAll="0"/>
  </pivotFields>
  <rowFields count="2">
    <field x="3"/>
    <field x="2"/>
  </rowFields>
  <rowItems count="38">
    <i>
      <x/>
    </i>
    <i r="1">
      <x/>
    </i>
    <i r="1">
      <x v="1"/>
    </i>
    <i r="1">
      <x v="2"/>
    </i>
    <i r="1">
      <x v="3"/>
    </i>
    <i>
      <x v="1"/>
    </i>
    <i r="1">
      <x v="4"/>
    </i>
    <i r="1">
      <x v="5"/>
    </i>
    <i r="1">
      <x v="6"/>
    </i>
    <i r="1">
      <x v="7"/>
    </i>
    <i>
      <x v="2"/>
    </i>
    <i r="1">
      <x v="8"/>
    </i>
    <i r="1">
      <x v="9"/>
    </i>
    <i r="1">
      <x v="10"/>
    </i>
    <i r="1">
      <x v="11"/>
    </i>
    <i>
      <x v="3"/>
    </i>
    <i r="1">
      <x v="12"/>
    </i>
    <i r="1">
      <x v="13"/>
    </i>
    <i r="1">
      <x v="14"/>
    </i>
    <i r="1">
      <x v="15"/>
    </i>
    <i>
      <x v="4"/>
    </i>
    <i r="1">
      <x v="16"/>
    </i>
    <i r="1">
      <x v="17"/>
    </i>
    <i r="1">
      <x v="18"/>
    </i>
    <i r="1">
      <x v="19"/>
    </i>
    <i r="1">
      <x v="20"/>
    </i>
    <i>
      <x v="5"/>
    </i>
    <i r="1">
      <x v="21"/>
    </i>
    <i r="1">
      <x v="22"/>
    </i>
    <i r="1">
      <x v="23"/>
    </i>
    <i r="1">
      <x v="24"/>
    </i>
    <i>
      <x v="6"/>
    </i>
    <i r="1">
      <x v="25"/>
    </i>
    <i r="1">
      <x v="26"/>
    </i>
    <i r="1">
      <x v="27"/>
    </i>
    <i r="1">
      <x v="28"/>
    </i>
    <i r="1">
      <x v="29"/>
    </i>
    <i t="grand">
      <x/>
    </i>
  </rowItems>
  <colItems count="1">
    <i/>
  </colItems>
  <dataFields count="1">
    <dataField name="Sum of Budget Variance" fld="21" baseField="0"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29AE0CC-7400-5044-8394-ED65455D6D83}" name="PivotTable9" cacheId="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1" firstHeaderRow="0" firstDataRow="1" firstDataCol="1"/>
  <pivotFields count="22">
    <pivotField showAll="0"/>
    <pivotField showAll="0"/>
    <pivotField showAll="0"/>
    <pivotField axis="axisRow" showAll="0">
      <items count="8">
        <item x="4"/>
        <item x="2"/>
        <item x="3"/>
        <item x="5"/>
        <item x="0"/>
        <item x="6"/>
        <item x="1"/>
        <item t="default"/>
      </items>
    </pivotField>
    <pivotField showAll="0"/>
    <pivotField showAll="0"/>
    <pivotField showAll="0"/>
    <pivotField showAll="0"/>
    <pivotField showAll="0"/>
    <pivotField showAll="0"/>
    <pivotField showAll="0"/>
    <pivotField numFmtId="164" showAll="0"/>
    <pivotField numFmtId="164" showAll="0"/>
    <pivotField showAll="0"/>
    <pivotField showAll="0">
      <items count="6">
        <item f="1" x="4"/>
        <item x="0"/>
        <item x="2"/>
        <item x="3"/>
        <item x="1"/>
        <item t="default"/>
      </items>
    </pivotField>
    <pivotField numFmtId="9" showAll="0"/>
    <pivotField numFmtId="165" showAll="0"/>
    <pivotField numFmtId="165" showAll="0"/>
    <pivotField showAll="0"/>
    <pivotField dataField="1" showAll="0"/>
    <pivotField showAll="0"/>
    <pivotField dataField="1" numFmtId="4" showAll="0"/>
  </pivotFields>
  <rowFields count="1">
    <field x="3"/>
  </rowFields>
  <rowItems count="8">
    <i>
      <x/>
    </i>
    <i>
      <x v="1"/>
    </i>
    <i>
      <x v="2"/>
    </i>
    <i>
      <x v="3"/>
    </i>
    <i>
      <x v="4"/>
    </i>
    <i>
      <x v="5"/>
    </i>
    <i>
      <x v="6"/>
    </i>
    <i t="grand">
      <x/>
    </i>
  </rowItems>
  <colFields count="1">
    <field x="-2"/>
  </colFields>
  <colItems count="2">
    <i>
      <x/>
    </i>
    <i i="1">
      <x v="1"/>
    </i>
  </colItems>
  <dataFields count="2">
    <dataField name="Sum of Days Delayed" fld="19" baseField="0" baseItem="0"/>
    <dataField name="Sum of Budget Variance" fld="21" baseField="0"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94F1C05-B711-2C4A-83B3-165849293519}" name="PivotTable2" cacheId="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11" firstHeaderRow="1" firstDataRow="2" firstDataCol="1"/>
  <pivotFields count="22">
    <pivotField dataField="1" showAll="0"/>
    <pivotField showAll="0"/>
    <pivotField showAll="0"/>
    <pivotField showAll="0"/>
    <pivotField showAll="0"/>
    <pivotField axis="axisRow" showAll="0">
      <items count="7">
        <item x="0"/>
        <item x="4"/>
        <item x="1"/>
        <item x="2"/>
        <item x="5"/>
        <item x="3"/>
        <item t="default"/>
      </items>
    </pivotField>
    <pivotField showAll="0"/>
    <pivotField showAll="0"/>
    <pivotField showAll="0"/>
    <pivotField showAll="0"/>
    <pivotField showAll="0"/>
    <pivotField numFmtId="164" showAll="0"/>
    <pivotField numFmtId="164" showAll="0"/>
    <pivotField showAll="0"/>
    <pivotField axis="axisCol" showAll="0">
      <items count="6">
        <item x="0"/>
        <item x="2"/>
        <item x="3"/>
        <item x="1"/>
        <item f="1" x="4"/>
        <item t="default"/>
      </items>
    </pivotField>
    <pivotField numFmtId="9" showAll="0"/>
    <pivotField numFmtId="165" showAll="0"/>
    <pivotField numFmtId="165" showAll="0"/>
    <pivotField showAll="0"/>
    <pivotField showAll="0"/>
    <pivotField showAll="0"/>
    <pivotField numFmtId="4" showAll="0"/>
  </pivotFields>
  <rowFields count="1">
    <field x="5"/>
  </rowFields>
  <rowItems count="7">
    <i>
      <x/>
    </i>
    <i>
      <x v="1"/>
    </i>
    <i>
      <x v="2"/>
    </i>
    <i>
      <x v="3"/>
    </i>
    <i>
      <x v="4"/>
    </i>
    <i>
      <x v="5"/>
    </i>
    <i t="grand">
      <x/>
    </i>
  </rowItems>
  <colFields count="1">
    <field x="14"/>
  </colFields>
  <colItems count="6">
    <i>
      <x/>
    </i>
    <i>
      <x v="1"/>
    </i>
    <i>
      <x v="2"/>
    </i>
    <i>
      <x v="3"/>
    </i>
    <i>
      <x v="4"/>
    </i>
    <i t="grand">
      <x/>
    </i>
  </colItems>
  <dataFields count="1">
    <dataField name="Count of Task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rojectTaskData" displayName="ProjectTaskData" ref="A1:V751" totalsRowShown="0">
  <autoFilter ref="A1:V751" xr:uid="{00000000-000C-0000-FFFF-FFFF00000000}"/>
  <tableColumns count="22">
    <tableColumn id="1" xr3:uid="{00000000-0010-0000-0000-000001000000}" name="Task ID"/>
    <tableColumn id="2" xr3:uid="{00000000-0010-0000-0000-000002000000}" name="Project ID"/>
    <tableColumn id="3" xr3:uid="{00000000-0010-0000-0000-000003000000}" name="Project Name"/>
    <tableColumn id="4" xr3:uid="{00000000-0010-0000-0000-000004000000}" name="Department"/>
    <tableColumn id="5" xr3:uid="{00000000-0010-0000-0000-000005000000}" name="Project Type"/>
    <tableColumn id="6" xr3:uid="{00000000-0010-0000-0000-000006000000}" name="Project Manager"/>
    <tableColumn id="7" xr3:uid="{00000000-0010-0000-0000-000007000000}" name="Workstream"/>
    <tableColumn id="8" xr3:uid="{00000000-0010-0000-0000-000008000000}" name="Task Name"/>
    <tableColumn id="9" xr3:uid="{00000000-0010-0000-0000-000009000000}" name="Priority"/>
    <tableColumn id="10" xr3:uid="{00000000-0010-0000-0000-00000A000000}" name="Risk Level"/>
    <tableColumn id="11" xr3:uid="{00000000-0010-0000-0000-00000B000000}" name="Vendor"/>
    <tableColumn id="12" xr3:uid="{00000000-0010-0000-0000-00000C000000}" name="Planned Start"/>
    <tableColumn id="13" xr3:uid="{00000000-0010-0000-0000-00000D000000}" name="Planned Finish"/>
    <tableColumn id="14" xr3:uid="{00000000-0010-0000-0000-00000E000000}" name="Actual Finish"/>
    <tableColumn id="15" xr3:uid="{00000000-0010-0000-0000-00000F000000}" name="Status"/>
    <tableColumn id="16" xr3:uid="{00000000-0010-0000-0000-000010000000}" name="Percent Complete"/>
    <tableColumn id="17" xr3:uid="{00000000-0010-0000-0000-000011000000}" name="Planned Budget"/>
    <tableColumn id="18" xr3:uid="{00000000-0010-0000-0000-000012000000}" name="Actual Cost"/>
    <tableColumn id="19" xr3:uid="{00000000-0010-0000-0000-000013000000}" name="Issue Count"/>
    <tableColumn id="20" xr3:uid="{A6386FE9-4367-8A49-AA92-EEFE49CE3A79}" name="Days Delayed" dataDxfId="5">
      <calculatedColumnFormula>IF(N2="","",MAX(0,N2-M2))</calculatedColumnFormula>
    </tableColumn>
    <tableColumn id="21" xr3:uid="{50AEF967-7E0D-B64B-A56E-4E337A31DBDA}" name="Unique Project Flag" dataDxfId="4">
      <calculatedColumnFormula>IF(COUNTIFS($B$2:B2,B2,$F$2:F2,F2)=1,1,0)</calculatedColumnFormula>
    </tableColumn>
    <tableColumn id="22" xr3:uid="{F6BBCFFC-1F2E-3E4F-A690-97CA018F4A24}" name="Budget Variance" dataDxfId="3">
      <calculatedColumnFormula>Q2-R2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
  <sheetViews>
    <sheetView tabSelected="1" workbookViewId="0">
      <selection activeCell="B27" sqref="B27"/>
    </sheetView>
  </sheetViews>
  <sheetFormatPr baseColWidth="10" defaultColWidth="8.83203125" defaultRowHeight="14"/>
  <cols>
    <col min="1" max="1" width="22" customWidth="1"/>
    <col min="2" max="2" width="75" customWidth="1"/>
  </cols>
  <sheetData>
    <row r="1" spans="1:2" ht="25.5" customHeight="1">
      <c r="A1" s="8" t="s">
        <v>0</v>
      </c>
      <c r="B1" s="8"/>
    </row>
    <row r="2" spans="1:2" ht="49" customHeight="1">
      <c r="A2" s="38" t="s">
        <v>1132</v>
      </c>
      <c r="B2" s="1"/>
    </row>
    <row r="3" spans="1:2" ht="60" customHeight="1">
      <c r="A3" s="2" t="s">
        <v>1</v>
      </c>
      <c r="B3" s="3" t="s">
        <v>1133</v>
      </c>
    </row>
    <row r="4" spans="1:2" ht="87" customHeight="1">
      <c r="A4" s="2" t="s">
        <v>1134</v>
      </c>
      <c r="B4" s="3" t="s">
        <v>1141</v>
      </c>
    </row>
    <row r="5" spans="1:2" ht="60" customHeight="1">
      <c r="A5" s="2" t="s">
        <v>1136</v>
      </c>
      <c r="B5" s="3" t="s">
        <v>1135</v>
      </c>
    </row>
    <row r="6" spans="1:2" ht="47" customHeight="1">
      <c r="A6" s="2" t="s">
        <v>1137</v>
      </c>
      <c r="B6" s="3" t="s">
        <v>1138</v>
      </c>
    </row>
    <row r="7" spans="1:2" ht="47" customHeight="1">
      <c r="A7" s="2" t="s">
        <v>1139</v>
      </c>
      <c r="B7" s="3" t="s">
        <v>1140</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39F3B-A8E0-3343-BCE7-20ED9C629988}">
  <dimension ref="A1:R42"/>
  <sheetViews>
    <sheetView showGridLines="0" zoomScale="75" zoomScaleNormal="68" workbookViewId="0">
      <selection activeCell="N50" sqref="N50"/>
    </sheetView>
  </sheetViews>
  <sheetFormatPr baseColWidth="10" defaultRowHeight="14"/>
  <cols>
    <col min="14" max="15" width="10.83203125" style="37"/>
    <col min="17" max="17" width="18" style="37" customWidth="1"/>
    <col min="18" max="18" width="20.33203125" style="37" customWidth="1"/>
  </cols>
  <sheetData>
    <row r="1" spans="1:18">
      <c r="A1" s="22" t="s">
        <v>1122</v>
      </c>
      <c r="B1" s="21"/>
      <c r="C1" s="21"/>
      <c r="D1" s="21"/>
      <c r="E1" s="21"/>
      <c r="F1" s="21"/>
      <c r="G1" s="21"/>
      <c r="H1" s="21"/>
      <c r="I1" s="21"/>
      <c r="J1" s="21"/>
      <c r="K1" s="21"/>
      <c r="L1" s="21"/>
    </row>
    <row r="2" spans="1:18">
      <c r="A2" s="21"/>
      <c r="B2" s="21"/>
      <c r="C2" s="21"/>
      <c r="D2" s="21"/>
      <c r="E2" s="21"/>
      <c r="F2" s="21"/>
      <c r="G2" s="21"/>
      <c r="H2" s="21"/>
      <c r="I2" s="21"/>
      <c r="J2" s="21"/>
      <c r="K2" s="21"/>
      <c r="L2" s="21"/>
      <c r="N2" s="37" t="s">
        <v>1114</v>
      </c>
      <c r="O2" s="37" t="s">
        <v>1127</v>
      </c>
      <c r="Q2" s="37" t="s">
        <v>5</v>
      </c>
      <c r="R2" s="37" t="s">
        <v>1128</v>
      </c>
    </row>
    <row r="3" spans="1:18" ht="16">
      <c r="A3" s="23" t="s">
        <v>1123</v>
      </c>
      <c r="B3" s="23"/>
      <c r="C3" s="23"/>
      <c r="D3" s="23"/>
      <c r="E3" s="23"/>
      <c r="F3" s="23"/>
      <c r="G3" s="23"/>
      <c r="H3" s="23"/>
      <c r="I3" s="23"/>
      <c r="J3" s="23"/>
      <c r="K3" s="23"/>
      <c r="L3" s="23"/>
      <c r="N3" s="37" t="s">
        <v>32</v>
      </c>
      <c r="O3" s="37">
        <f>COUNTIF('Project Health'!F2:F31,"Completed")</f>
        <v>8</v>
      </c>
      <c r="Q3" s="37" t="s">
        <v>64</v>
      </c>
      <c r="R3" s="37">
        <v>19</v>
      </c>
    </row>
    <row r="4" spans="1:18">
      <c r="N4" s="37" t="s">
        <v>1119</v>
      </c>
      <c r="O4" s="37">
        <f>COUNTIF('Project Health'!F2:F31,"Delayed")</f>
        <v>22</v>
      </c>
      <c r="Q4" s="37" t="s">
        <v>46</v>
      </c>
      <c r="R4" s="37">
        <v>18</v>
      </c>
    </row>
    <row r="5" spans="1:18">
      <c r="A5" s="26">
        <f>COUNTA('Project Health'!A2:A31)</f>
        <v>30</v>
      </c>
      <c r="B5" s="27"/>
      <c r="C5" s="28"/>
      <c r="D5" s="26">
        <f>COUNTIF('Project Health'!F2:F31,"&lt;&gt;Completed")</f>
        <v>22</v>
      </c>
      <c r="E5" s="27"/>
      <c r="F5" s="28"/>
      <c r="G5" s="26">
        <f>COUNTIF('Project Health'!F2:F31,"Completed")</f>
        <v>8</v>
      </c>
      <c r="H5" s="27"/>
      <c r="I5" s="28"/>
      <c r="J5" s="27">
        <f>COUNTIFS('Raw Project Data'!O2:O751,"&lt;&gt;Completed",'Raw Project Data'!O2:O751,"&lt;&gt;")</f>
        <v>294</v>
      </c>
      <c r="K5" s="27"/>
      <c r="L5" s="28"/>
      <c r="Q5" s="37" t="s">
        <v>56</v>
      </c>
      <c r="R5" s="37">
        <v>16</v>
      </c>
    </row>
    <row r="6" spans="1:18">
      <c r="A6" s="29"/>
      <c r="B6" s="30"/>
      <c r="C6" s="31"/>
      <c r="D6" s="29"/>
      <c r="E6" s="30"/>
      <c r="F6" s="31"/>
      <c r="G6" s="29"/>
      <c r="H6" s="30"/>
      <c r="I6" s="31"/>
      <c r="J6" s="30"/>
      <c r="K6" s="30"/>
      <c r="L6" s="31"/>
      <c r="Q6" s="37" t="s">
        <v>73</v>
      </c>
      <c r="R6" s="37">
        <v>14</v>
      </c>
    </row>
    <row r="7" spans="1:18" ht="15">
      <c r="A7" s="32" t="s">
        <v>1124</v>
      </c>
      <c r="B7" s="33"/>
      <c r="C7" s="34"/>
      <c r="D7" s="32" t="s">
        <v>1121</v>
      </c>
      <c r="E7" s="33"/>
      <c r="F7" s="34"/>
      <c r="G7" s="32" t="s">
        <v>1125</v>
      </c>
      <c r="H7" s="33"/>
      <c r="I7" s="34"/>
      <c r="J7" s="33" t="s">
        <v>1126</v>
      </c>
      <c r="K7" s="33"/>
      <c r="L7" s="34"/>
      <c r="N7" s="37" t="s">
        <v>26</v>
      </c>
      <c r="O7" s="37">
        <v>43</v>
      </c>
      <c r="Q7" s="37" t="s">
        <v>24</v>
      </c>
      <c r="R7" s="37">
        <v>14</v>
      </c>
    </row>
    <row r="8" spans="1:18">
      <c r="N8" s="37" t="s">
        <v>66</v>
      </c>
      <c r="O8" s="37">
        <v>56</v>
      </c>
      <c r="Q8" s="37" t="s">
        <v>82</v>
      </c>
      <c r="R8" s="37">
        <v>17</v>
      </c>
    </row>
    <row r="9" spans="1:18">
      <c r="N9" s="37" t="s">
        <v>38</v>
      </c>
      <c r="O9" s="37">
        <v>36</v>
      </c>
      <c r="Q9" s="37" t="s">
        <v>36</v>
      </c>
      <c r="R9" s="37">
        <v>24</v>
      </c>
    </row>
    <row r="10" spans="1:18">
      <c r="N10" s="37" t="s">
        <v>48</v>
      </c>
      <c r="O10" s="37">
        <v>57</v>
      </c>
    </row>
    <row r="11" spans="1:18">
      <c r="N11" s="37" t="s">
        <v>75</v>
      </c>
      <c r="O11" s="37">
        <v>44</v>
      </c>
    </row>
    <row r="12" spans="1:18">
      <c r="N12" s="37" t="s">
        <v>58</v>
      </c>
      <c r="O12" s="37">
        <v>58</v>
      </c>
    </row>
    <row r="14" spans="1:18">
      <c r="Q14" s="37" t="s">
        <v>5</v>
      </c>
      <c r="R14" s="37" t="s">
        <v>1129</v>
      </c>
    </row>
    <row r="15" spans="1:18">
      <c r="Q15" s="37" t="s">
        <v>64</v>
      </c>
      <c r="R15" s="37">
        <v>255</v>
      </c>
    </row>
    <row r="16" spans="1:18">
      <c r="Q16" s="37" t="s">
        <v>46</v>
      </c>
      <c r="R16" s="37">
        <v>237</v>
      </c>
    </row>
    <row r="17" spans="17:18">
      <c r="Q17" s="37" t="s">
        <v>56</v>
      </c>
      <c r="R17" s="37">
        <v>129</v>
      </c>
    </row>
    <row r="18" spans="17:18">
      <c r="Q18" s="37" t="s">
        <v>73</v>
      </c>
      <c r="R18" s="37">
        <v>158</v>
      </c>
    </row>
    <row r="19" spans="17:18">
      <c r="Q19" s="37" t="s">
        <v>24</v>
      </c>
      <c r="R19" s="37">
        <v>239</v>
      </c>
    </row>
    <row r="20" spans="17:18">
      <c r="Q20" s="37" t="s">
        <v>82</v>
      </c>
      <c r="R20" s="37">
        <v>189</v>
      </c>
    </row>
    <row r="21" spans="17:18">
      <c r="Q21" s="37" t="s">
        <v>36</v>
      </c>
      <c r="R21" s="37">
        <v>318</v>
      </c>
    </row>
    <row r="39" spans="1:12" ht="15" customHeight="1"/>
    <row r="40" spans="1:12" ht="19" customHeight="1">
      <c r="A40" s="25" t="s">
        <v>1130</v>
      </c>
      <c r="B40" s="25"/>
      <c r="C40" s="25"/>
      <c r="D40" s="25"/>
      <c r="E40" s="25"/>
      <c r="F40" s="25"/>
      <c r="G40" s="25"/>
      <c r="H40" s="25"/>
      <c r="I40" s="25"/>
      <c r="J40" s="25"/>
      <c r="K40" s="25"/>
      <c r="L40" s="25"/>
    </row>
    <row r="41" spans="1:12" ht="9" customHeight="1">
      <c r="A41" s="24"/>
      <c r="B41" s="24"/>
      <c r="C41" s="24"/>
      <c r="D41" s="24"/>
      <c r="E41" s="24"/>
      <c r="F41" s="24"/>
      <c r="G41" s="24"/>
      <c r="H41" s="24"/>
      <c r="I41" s="24"/>
      <c r="J41" s="24"/>
      <c r="K41" s="24"/>
      <c r="L41" s="24"/>
    </row>
    <row r="42" spans="1:12" ht="79" customHeight="1">
      <c r="A42" s="35" t="s">
        <v>1131</v>
      </c>
      <c r="B42" s="36"/>
      <c r="C42" s="36"/>
      <c r="D42" s="36"/>
      <c r="E42" s="36"/>
      <c r="F42" s="36"/>
      <c r="G42" s="36"/>
      <c r="H42" s="36"/>
      <c r="I42" s="36"/>
      <c r="J42" s="36"/>
      <c r="K42" s="36"/>
      <c r="L42" s="36"/>
    </row>
  </sheetData>
  <mergeCells count="12">
    <mergeCell ref="G5:I6"/>
    <mergeCell ref="G7:I7"/>
    <mergeCell ref="J5:L6"/>
    <mergeCell ref="J7:L7"/>
    <mergeCell ref="A40:L40"/>
    <mergeCell ref="A42:L42"/>
    <mergeCell ref="A1:L2"/>
    <mergeCell ref="A3:L3"/>
    <mergeCell ref="A5:C6"/>
    <mergeCell ref="A7:C7"/>
    <mergeCell ref="D5:F6"/>
    <mergeCell ref="D7:F7"/>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1C36D-9C25-1146-ADFD-B4C4B6DE9D45}">
  <dimension ref="A1:L38"/>
  <sheetViews>
    <sheetView topLeftCell="G1" workbookViewId="0">
      <selection activeCell="L17" sqref="L17"/>
    </sheetView>
  </sheetViews>
  <sheetFormatPr baseColWidth="10" defaultRowHeight="14"/>
  <cols>
    <col min="1" max="1" width="36.1640625" customWidth="1"/>
    <col min="2" max="2" width="12.1640625" style="16" customWidth="1"/>
    <col min="3" max="3" width="14" customWidth="1"/>
    <col min="4" max="4" width="9.83203125" customWidth="1"/>
    <col min="5" max="5" width="12.33203125" customWidth="1"/>
    <col min="6" max="6" width="11.1640625" customWidth="1"/>
    <col min="7" max="7" width="12.1640625" customWidth="1"/>
    <col min="8" max="8" width="13" customWidth="1"/>
    <col min="9" max="9" width="18.5" customWidth="1"/>
    <col min="11" max="11" width="16.5" customWidth="1"/>
    <col min="12" max="12" width="13.6640625" customWidth="1"/>
  </cols>
  <sheetData>
    <row r="1" spans="1:12">
      <c r="A1" s="14" t="s">
        <v>4</v>
      </c>
      <c r="B1" s="17" t="s">
        <v>14</v>
      </c>
      <c r="C1" s="14" t="s">
        <v>1111</v>
      </c>
      <c r="D1" s="14" t="s">
        <v>1112</v>
      </c>
      <c r="E1" s="14" t="s">
        <v>1113</v>
      </c>
      <c r="F1" s="14" t="s">
        <v>1114</v>
      </c>
      <c r="G1" s="14" t="s">
        <v>1115</v>
      </c>
      <c r="H1" s="14" t="s">
        <v>1116</v>
      </c>
      <c r="I1" s="14" t="s">
        <v>7</v>
      </c>
      <c r="K1" s="14" t="s">
        <v>7</v>
      </c>
      <c r="L1" s="14" t="s">
        <v>1121</v>
      </c>
    </row>
    <row r="2" spans="1:12" ht="16">
      <c r="A2" s="18" t="s">
        <v>23</v>
      </c>
      <c r="B2" s="17">
        <f>_xlfn.MAXIFS('Raw Project Data'!$M:$M,'Raw Project Data'!$C:$C,A2)</f>
        <v>46155</v>
      </c>
      <c r="C2" s="19">
        <f>COUNTIFS('Raw Project Data'!$C:$C,A2,'Raw Project Data'!$O:$O,"Completed")</f>
        <v>25</v>
      </c>
      <c r="D2" s="19">
        <f>COUNTIF('Raw Project Data'!$C:$C,A2)</f>
        <v>25</v>
      </c>
      <c r="E2" s="14">
        <f>COUNTIFS('Raw Project Data'!$C:$C,A2,'Raw Project Data'!$O:$O,"On Hold")</f>
        <v>0</v>
      </c>
      <c r="F2" s="14" t="str">
        <f>IF(C2=D2,"Completed",IF(B2&lt;$G$2,"Delayed",IF(E2&gt;0,"At Risk","On Track")))</f>
        <v>Completed</v>
      </c>
      <c r="G2" s="17">
        <v>46245</v>
      </c>
      <c r="H2" s="16" t="s">
        <v>32</v>
      </c>
      <c r="I2" s="15" t="str">
        <f>_xlfn.XLOOKUP(A2,'Raw Project Data'!$C:$C,'Raw Project Data'!$F:$F)</f>
        <v>Avery Brooks</v>
      </c>
      <c r="K2" t="s">
        <v>26</v>
      </c>
      <c r="L2">
        <f>COUNTIFS($I$2:$I$31,K2,$F$2:$F$31,"&lt;&gt;Completed")</f>
        <v>3</v>
      </c>
    </row>
    <row r="3" spans="1:12" ht="16">
      <c r="A3" s="20" t="s">
        <v>35</v>
      </c>
      <c r="B3" s="17">
        <f>_xlfn.MAXIFS('Raw Project Data'!$M:$M,'Raw Project Data'!$C:$C,A3)</f>
        <v>45887</v>
      </c>
      <c r="C3" s="19">
        <f>COUNTIFS('Raw Project Data'!$C:$C,A3,'Raw Project Data'!$O:$O,"Completed")</f>
        <v>25</v>
      </c>
      <c r="D3" s="19">
        <f>COUNTIF('Raw Project Data'!$C:$C,A3)</f>
        <v>25</v>
      </c>
      <c r="E3" s="14">
        <f>COUNTIFS('Raw Project Data'!$C:$C,A3,'Raw Project Data'!$O:$O,"On Hold")</f>
        <v>0</v>
      </c>
      <c r="F3" s="14" t="str">
        <f t="shared" ref="F3:F31" si="0">IF(C3=D3,"Completed",IF(B3&lt;$G$2,"Delayed",IF(E3&gt;0,"At Risk","On Track")))</f>
        <v>Completed</v>
      </c>
      <c r="G3" s="14"/>
      <c r="H3" s="16" t="s">
        <v>32</v>
      </c>
      <c r="I3" s="15" t="str">
        <f>_xlfn.XLOOKUP(A3,'Raw Project Data'!$C:$C,'Raw Project Data'!$F:$F)</f>
        <v>Jordan Lee</v>
      </c>
      <c r="K3" t="s">
        <v>66</v>
      </c>
      <c r="L3">
        <f t="shared" ref="L3:L7" si="1">COUNTIFS($I$2:$I$31,K3,$F$2:$F$31,"&lt;&gt;Completed")</f>
        <v>4</v>
      </c>
    </row>
    <row r="4" spans="1:12" ht="16">
      <c r="A4" s="18" t="s">
        <v>45</v>
      </c>
      <c r="B4" s="17">
        <f>_xlfn.MAXIFS('Raw Project Data'!$M:$M,'Raw Project Data'!$C:$C,A4)</f>
        <v>45837</v>
      </c>
      <c r="C4" s="19">
        <f>COUNTIFS('Raw Project Data'!$C:$C,A4,'Raw Project Data'!$O:$O,"Completed")</f>
        <v>25</v>
      </c>
      <c r="D4" s="19">
        <f>COUNTIF('Raw Project Data'!$C:$C,A4)</f>
        <v>25</v>
      </c>
      <c r="E4" s="14">
        <f>COUNTIFS('Raw Project Data'!$C:$C,A4,'Raw Project Data'!$O:$O,"On Hold")</f>
        <v>0</v>
      </c>
      <c r="F4" s="14" t="str">
        <f t="shared" si="0"/>
        <v>Completed</v>
      </c>
      <c r="G4" s="14"/>
      <c r="H4" s="16" t="s">
        <v>32</v>
      </c>
      <c r="I4" s="15" t="str">
        <f>_xlfn.XLOOKUP(A4,'Raw Project Data'!$C:$C,'Raw Project Data'!$F:$F)</f>
        <v>Morgan Patel</v>
      </c>
      <c r="K4" t="s">
        <v>38</v>
      </c>
      <c r="L4">
        <f t="shared" si="1"/>
        <v>3</v>
      </c>
    </row>
    <row r="5" spans="1:12" ht="16">
      <c r="A5" s="20" t="s">
        <v>55</v>
      </c>
      <c r="B5" s="17">
        <f>_xlfn.MAXIFS('Raw Project Data'!$M:$M,'Raw Project Data'!$C:$C,A5)</f>
        <v>46207</v>
      </c>
      <c r="C5" s="19">
        <f>COUNTIFS('Raw Project Data'!$C:$C,A5,'Raw Project Data'!$O:$O,"Completed")</f>
        <v>25</v>
      </c>
      <c r="D5" s="19">
        <f>COUNTIF('Raw Project Data'!$C:$C,A5)</f>
        <v>25</v>
      </c>
      <c r="E5" s="14">
        <f>COUNTIFS('Raw Project Data'!$C:$C,A5,'Raw Project Data'!$O:$O,"On Hold")</f>
        <v>0</v>
      </c>
      <c r="F5" s="14" t="str">
        <f t="shared" si="0"/>
        <v>Completed</v>
      </c>
      <c r="G5" s="14"/>
      <c r="H5" s="16" t="s">
        <v>32</v>
      </c>
      <c r="I5" s="15" t="str">
        <f>_xlfn.XLOOKUP(A5,'Raw Project Data'!$C:$C,'Raw Project Data'!$F:$F)</f>
        <v>Taylor Reed</v>
      </c>
      <c r="K5" t="s">
        <v>48</v>
      </c>
      <c r="L5">
        <f t="shared" si="1"/>
        <v>4</v>
      </c>
    </row>
    <row r="6" spans="1:12" ht="16">
      <c r="A6" s="18" t="s">
        <v>63</v>
      </c>
      <c r="B6" s="17">
        <f>_xlfn.MAXIFS('Raw Project Data'!$M:$M,'Raw Project Data'!$C:$C,A6)</f>
        <v>45967</v>
      </c>
      <c r="C6" s="19">
        <f>COUNTIFS('Raw Project Data'!$C:$C,A6,'Raw Project Data'!$O:$O,"Completed")</f>
        <v>25</v>
      </c>
      <c r="D6" s="19">
        <f>COUNTIF('Raw Project Data'!$C:$C,A6)</f>
        <v>25</v>
      </c>
      <c r="E6" s="14">
        <f>COUNTIFS('Raw Project Data'!$C:$C,A6,'Raw Project Data'!$O:$O,"On Hold")</f>
        <v>0</v>
      </c>
      <c r="F6" s="14" t="str">
        <f t="shared" si="0"/>
        <v>Completed</v>
      </c>
      <c r="G6" s="14"/>
      <c r="H6" s="16" t="s">
        <v>32</v>
      </c>
      <c r="I6" s="15" t="str">
        <f>_xlfn.XLOOKUP(A6,'Raw Project Data'!$C:$C,'Raw Project Data'!$F:$F)</f>
        <v>Cameron Diaz</v>
      </c>
      <c r="K6" t="s">
        <v>75</v>
      </c>
      <c r="L6">
        <f t="shared" si="1"/>
        <v>4</v>
      </c>
    </row>
    <row r="7" spans="1:12" ht="16">
      <c r="A7" s="20" t="s">
        <v>72</v>
      </c>
      <c r="B7" s="17">
        <f>_xlfn.MAXIFS('Raw Project Data'!$M:$M,'Raw Project Data'!$C:$C,A7)</f>
        <v>45949</v>
      </c>
      <c r="C7" s="19">
        <f>COUNTIFS('Raw Project Data'!$C:$C,A7,'Raw Project Data'!$O:$O,"Completed")</f>
        <v>25</v>
      </c>
      <c r="D7" s="19">
        <f>COUNTIF('Raw Project Data'!$C:$C,A7)</f>
        <v>25</v>
      </c>
      <c r="E7" s="14">
        <f>COUNTIFS('Raw Project Data'!$C:$C,A7,'Raw Project Data'!$O:$O,"On Hold")</f>
        <v>0</v>
      </c>
      <c r="F7" s="14" t="str">
        <f t="shared" si="0"/>
        <v>Completed</v>
      </c>
      <c r="G7" s="14"/>
      <c r="H7" s="16" t="s">
        <v>32</v>
      </c>
      <c r="I7" s="15" t="str">
        <f>_xlfn.XLOOKUP(A7,'Raw Project Data'!$C:$C,'Raw Project Data'!$F:$F)</f>
        <v>Riley Chen</v>
      </c>
      <c r="K7" t="s">
        <v>58</v>
      </c>
      <c r="L7">
        <f t="shared" si="1"/>
        <v>4</v>
      </c>
    </row>
    <row r="8" spans="1:12" ht="16">
      <c r="A8" s="18" t="s">
        <v>81</v>
      </c>
      <c r="B8" s="17">
        <f>_xlfn.MAXIFS('Raw Project Data'!$M:$M,'Raw Project Data'!$C:$C,A8)</f>
        <v>45937</v>
      </c>
      <c r="C8" s="19">
        <f>COUNTIFS('Raw Project Data'!$C:$C,A8,'Raw Project Data'!$O:$O,"Completed")</f>
        <v>25</v>
      </c>
      <c r="D8" s="19">
        <f>COUNTIF('Raw Project Data'!$C:$C,A8)</f>
        <v>25</v>
      </c>
      <c r="E8" s="14">
        <f>COUNTIFS('Raw Project Data'!$C:$C,A8,'Raw Project Data'!$O:$O,"On Hold")</f>
        <v>0</v>
      </c>
      <c r="F8" s="14" t="str">
        <f t="shared" si="0"/>
        <v>Completed</v>
      </c>
      <c r="G8" s="14"/>
      <c r="H8" s="16" t="s">
        <v>32</v>
      </c>
      <c r="I8" s="15" t="str">
        <f>_xlfn.XLOOKUP(A8,'Raw Project Data'!$C:$C,'Raw Project Data'!$F:$F)</f>
        <v>Avery Brooks</v>
      </c>
    </row>
    <row r="9" spans="1:12" ht="16">
      <c r="A9" s="20" t="s">
        <v>89</v>
      </c>
      <c r="B9" s="17">
        <f>_xlfn.MAXIFS('Raw Project Data'!$M:$M,'Raw Project Data'!$C:$C,A9)</f>
        <v>45881</v>
      </c>
      <c r="C9" s="19">
        <f>COUNTIFS('Raw Project Data'!$C:$C,A9,'Raw Project Data'!$O:$O,"Completed")</f>
        <v>25</v>
      </c>
      <c r="D9" s="19">
        <f>COUNTIF('Raw Project Data'!$C:$C,A9)</f>
        <v>25</v>
      </c>
      <c r="E9" s="14">
        <f>COUNTIFS('Raw Project Data'!$C:$C,A9,'Raw Project Data'!$O:$O,"On Hold")</f>
        <v>0</v>
      </c>
      <c r="F9" s="14" t="str">
        <f t="shared" si="0"/>
        <v>Completed</v>
      </c>
      <c r="G9" s="14"/>
      <c r="H9" s="16" t="s">
        <v>32</v>
      </c>
      <c r="I9" s="15" t="str">
        <f>_xlfn.XLOOKUP(A9,'Raw Project Data'!$C:$C,'Raw Project Data'!$F:$F)</f>
        <v>Jordan Lee</v>
      </c>
    </row>
    <row r="10" spans="1:12" ht="16">
      <c r="A10" s="18" t="s">
        <v>94</v>
      </c>
      <c r="B10" s="17">
        <f>_xlfn.MAXIFS('Raw Project Data'!$M:$M,'Raw Project Data'!$C:$C,A10)</f>
        <v>46210</v>
      </c>
      <c r="C10" s="19">
        <f>COUNTIFS('Raw Project Data'!$C:$C,A10,'Raw Project Data'!$O:$O,"Completed")</f>
        <v>11</v>
      </c>
      <c r="D10" s="19">
        <f>COUNTIF('Raw Project Data'!$C:$C,A10)</f>
        <v>25</v>
      </c>
      <c r="E10" s="14">
        <f>COUNTIFS('Raw Project Data'!$C:$C,A10,'Raw Project Data'!$O:$O,"On Hold")</f>
        <v>0</v>
      </c>
      <c r="F10" s="14" t="str">
        <f t="shared" si="0"/>
        <v>Delayed</v>
      </c>
      <c r="G10" s="14"/>
      <c r="H10" s="16" t="s">
        <v>1117</v>
      </c>
      <c r="I10" s="15" t="str">
        <f>_xlfn.XLOOKUP(A10,'Raw Project Data'!$C:$C,'Raw Project Data'!$F:$F)</f>
        <v>Morgan Patel</v>
      </c>
    </row>
    <row r="11" spans="1:12" ht="16">
      <c r="A11" s="20" t="s">
        <v>99</v>
      </c>
      <c r="B11" s="17">
        <f>_xlfn.MAXIFS('Raw Project Data'!$M:$M,'Raw Project Data'!$C:$C,A11)</f>
        <v>45868</v>
      </c>
      <c r="C11" s="19">
        <f>COUNTIFS('Raw Project Data'!$C:$C,A11,'Raw Project Data'!$O:$O,"Completed")</f>
        <v>11</v>
      </c>
      <c r="D11" s="19">
        <f>COUNTIF('Raw Project Data'!$C:$C,A11)</f>
        <v>25</v>
      </c>
      <c r="E11" s="14">
        <f>COUNTIFS('Raw Project Data'!$C:$C,A11,'Raw Project Data'!$O:$O,"On Hold")</f>
        <v>2</v>
      </c>
      <c r="F11" s="14" t="str">
        <f t="shared" si="0"/>
        <v>Delayed</v>
      </c>
      <c r="G11" s="14"/>
      <c r="H11" s="16" t="s">
        <v>1117</v>
      </c>
      <c r="I11" s="15" t="str">
        <f>_xlfn.XLOOKUP(A11,'Raw Project Data'!$C:$C,'Raw Project Data'!$F:$F)</f>
        <v>Taylor Reed</v>
      </c>
    </row>
    <row r="12" spans="1:12" ht="16">
      <c r="A12" s="18" t="s">
        <v>102</v>
      </c>
      <c r="B12" s="17">
        <f>_xlfn.MAXIFS('Raw Project Data'!$M:$M,'Raw Project Data'!$C:$C,A12)</f>
        <v>46174</v>
      </c>
      <c r="C12" s="19">
        <f>COUNTIFS('Raw Project Data'!$C:$C,A12,'Raw Project Data'!$O:$O,"Completed")</f>
        <v>8</v>
      </c>
      <c r="D12" s="19">
        <f>COUNTIF('Raw Project Data'!$C:$C,A12)</f>
        <v>25</v>
      </c>
      <c r="E12" s="14">
        <f>COUNTIFS('Raw Project Data'!$C:$C,A12,'Raw Project Data'!$O:$O,"On Hold")</f>
        <v>2</v>
      </c>
      <c r="F12" s="14" t="str">
        <f t="shared" si="0"/>
        <v>Delayed</v>
      </c>
      <c r="G12" s="14"/>
      <c r="H12" s="16" t="s">
        <v>1117</v>
      </c>
      <c r="I12" s="15" t="str">
        <f>_xlfn.XLOOKUP(A12,'Raw Project Data'!$C:$C,'Raw Project Data'!$F:$F)</f>
        <v>Cameron Diaz</v>
      </c>
    </row>
    <row r="13" spans="1:12" ht="16">
      <c r="A13" s="20" t="s">
        <v>105</v>
      </c>
      <c r="B13" s="17">
        <f>_xlfn.MAXIFS('Raw Project Data'!$M:$M,'Raw Project Data'!$C:$C,A13)</f>
        <v>46217</v>
      </c>
      <c r="C13" s="19">
        <f>COUNTIFS('Raw Project Data'!$C:$C,A13,'Raw Project Data'!$O:$O,"Completed")</f>
        <v>15</v>
      </c>
      <c r="D13" s="19">
        <f>COUNTIF('Raw Project Data'!$C:$C,A13)</f>
        <v>25</v>
      </c>
      <c r="E13" s="14">
        <f>COUNTIFS('Raw Project Data'!$C:$C,A13,'Raw Project Data'!$O:$O,"On Hold")</f>
        <v>0</v>
      </c>
      <c r="F13" s="14" t="str">
        <f t="shared" si="0"/>
        <v>Delayed</v>
      </c>
      <c r="G13" s="14"/>
      <c r="H13" s="16" t="s">
        <v>1117</v>
      </c>
      <c r="I13" s="15" t="str">
        <f>_xlfn.XLOOKUP(A13,'Raw Project Data'!$C:$C,'Raw Project Data'!$F:$F)</f>
        <v>Riley Chen</v>
      </c>
    </row>
    <row r="14" spans="1:12" ht="16">
      <c r="A14" s="18" t="s">
        <v>108</v>
      </c>
      <c r="B14" s="17">
        <f>_xlfn.MAXIFS('Raw Project Data'!$M:$M,'Raw Project Data'!$C:$C,A14)</f>
        <v>46101</v>
      </c>
      <c r="C14" s="19">
        <f>COUNTIFS('Raw Project Data'!$C:$C,A14,'Raw Project Data'!$O:$O,"Completed")</f>
        <v>9</v>
      </c>
      <c r="D14" s="19">
        <f>COUNTIF('Raw Project Data'!$C:$C,A14)</f>
        <v>25</v>
      </c>
      <c r="E14" s="14">
        <f>COUNTIFS('Raw Project Data'!$C:$C,A14,'Raw Project Data'!$O:$O,"On Hold")</f>
        <v>2</v>
      </c>
      <c r="F14" s="14" t="str">
        <f t="shared" si="0"/>
        <v>Delayed</v>
      </c>
      <c r="G14" s="14"/>
      <c r="H14" s="16" t="s">
        <v>1117</v>
      </c>
      <c r="I14" s="15" t="str">
        <f>_xlfn.XLOOKUP(A14,'Raw Project Data'!$C:$C,'Raw Project Data'!$F:$F)</f>
        <v>Avery Brooks</v>
      </c>
    </row>
    <row r="15" spans="1:12" ht="16">
      <c r="A15" s="20" t="s">
        <v>112</v>
      </c>
      <c r="B15" s="17">
        <f>_xlfn.MAXIFS('Raw Project Data'!$M:$M,'Raw Project Data'!$C:$C,A15)</f>
        <v>45873</v>
      </c>
      <c r="C15" s="19">
        <f>COUNTIFS('Raw Project Data'!$C:$C,A15,'Raw Project Data'!$O:$O,"Completed")</f>
        <v>11</v>
      </c>
      <c r="D15" s="19">
        <f>COUNTIF('Raw Project Data'!$C:$C,A15)</f>
        <v>25</v>
      </c>
      <c r="E15" s="14">
        <f>COUNTIFS('Raw Project Data'!$C:$C,A15,'Raw Project Data'!$O:$O,"On Hold")</f>
        <v>1</v>
      </c>
      <c r="F15" s="14" t="str">
        <f t="shared" si="0"/>
        <v>Delayed</v>
      </c>
      <c r="G15" s="14"/>
      <c r="H15" s="16" t="s">
        <v>1117</v>
      </c>
      <c r="I15" s="15" t="str">
        <f>_xlfn.XLOOKUP(A15,'Raw Project Data'!$C:$C,'Raw Project Data'!$F:$F)</f>
        <v>Jordan Lee</v>
      </c>
    </row>
    <row r="16" spans="1:12" ht="16">
      <c r="A16" s="18" t="s">
        <v>115</v>
      </c>
      <c r="B16" s="17">
        <f>_xlfn.MAXIFS('Raw Project Data'!$M:$M,'Raw Project Data'!$C:$C,A16)</f>
        <v>46139</v>
      </c>
      <c r="C16" s="19">
        <f>COUNTIFS('Raw Project Data'!$C:$C,A16,'Raw Project Data'!$O:$O,"Completed")</f>
        <v>11</v>
      </c>
      <c r="D16" s="19">
        <f>COUNTIF('Raw Project Data'!$C:$C,A16)</f>
        <v>25</v>
      </c>
      <c r="E16" s="14">
        <f>COUNTIFS('Raw Project Data'!$C:$C,A16,'Raw Project Data'!$O:$O,"On Hold")</f>
        <v>0</v>
      </c>
      <c r="F16" s="14" t="str">
        <f t="shared" si="0"/>
        <v>Delayed</v>
      </c>
      <c r="G16" s="14"/>
      <c r="H16" s="16" t="s">
        <v>1117</v>
      </c>
      <c r="I16" s="15" t="str">
        <f>_xlfn.XLOOKUP(A16,'Raw Project Data'!$C:$C,'Raw Project Data'!$F:$F)</f>
        <v>Morgan Patel</v>
      </c>
    </row>
    <row r="17" spans="1:9" ht="16">
      <c r="A17" s="20" t="s">
        <v>118</v>
      </c>
      <c r="B17" s="17">
        <f>_xlfn.MAXIFS('Raw Project Data'!$M:$M,'Raw Project Data'!$C:$C,A17)</f>
        <v>46036</v>
      </c>
      <c r="C17" s="19">
        <f>COUNTIFS('Raw Project Data'!$C:$C,A17,'Raw Project Data'!$O:$O,"Completed")</f>
        <v>8</v>
      </c>
      <c r="D17" s="19">
        <f>COUNTIF('Raw Project Data'!$C:$C,A17)</f>
        <v>25</v>
      </c>
      <c r="E17" s="14">
        <f>COUNTIFS('Raw Project Data'!$C:$C,A17,'Raw Project Data'!$O:$O,"On Hold")</f>
        <v>1</v>
      </c>
      <c r="F17" s="14" t="str">
        <f t="shared" si="0"/>
        <v>Delayed</v>
      </c>
      <c r="G17" s="14"/>
      <c r="H17" s="16" t="s">
        <v>1117</v>
      </c>
      <c r="I17" s="15" t="str">
        <f>_xlfn.XLOOKUP(A17,'Raw Project Data'!$C:$C,'Raw Project Data'!$F:$F)</f>
        <v>Taylor Reed</v>
      </c>
    </row>
    <row r="18" spans="1:9" ht="16">
      <c r="A18" s="18" t="s">
        <v>121</v>
      </c>
      <c r="B18" s="17">
        <f>_xlfn.MAXIFS('Raw Project Data'!$M:$M,'Raw Project Data'!$C:$C,A18)</f>
        <v>45849</v>
      </c>
      <c r="C18" s="19">
        <f>COUNTIFS('Raw Project Data'!$C:$C,A18,'Raw Project Data'!$O:$O,"Completed")</f>
        <v>13</v>
      </c>
      <c r="D18" s="19">
        <f>COUNTIF('Raw Project Data'!$C:$C,A18)</f>
        <v>25</v>
      </c>
      <c r="E18" s="14">
        <f>COUNTIFS('Raw Project Data'!$C:$C,A18,'Raw Project Data'!$O:$O,"On Hold")</f>
        <v>1</v>
      </c>
      <c r="F18" s="14" t="str">
        <f t="shared" si="0"/>
        <v>Delayed</v>
      </c>
      <c r="G18" s="14"/>
      <c r="H18" s="16" t="s">
        <v>1117</v>
      </c>
      <c r="I18" s="15" t="str">
        <f>_xlfn.XLOOKUP(A18,'Raw Project Data'!$C:$C,'Raw Project Data'!$F:$F)</f>
        <v>Cameron Diaz</v>
      </c>
    </row>
    <row r="19" spans="1:9" ht="16">
      <c r="A19" s="20" t="s">
        <v>124</v>
      </c>
      <c r="B19" s="17">
        <f>_xlfn.MAXIFS('Raw Project Data'!$M:$M,'Raw Project Data'!$C:$C,A19)</f>
        <v>45834</v>
      </c>
      <c r="C19" s="19">
        <f>COUNTIFS('Raw Project Data'!$C:$C,A19,'Raw Project Data'!$O:$O,"Completed")</f>
        <v>13</v>
      </c>
      <c r="D19" s="19">
        <f>COUNTIF('Raw Project Data'!$C:$C,A19)</f>
        <v>25</v>
      </c>
      <c r="E19" s="14">
        <f>COUNTIFS('Raw Project Data'!$C:$C,A19,'Raw Project Data'!$O:$O,"On Hold")</f>
        <v>2</v>
      </c>
      <c r="F19" s="14" t="str">
        <f t="shared" si="0"/>
        <v>Delayed</v>
      </c>
      <c r="G19" s="14"/>
      <c r="H19" s="16" t="s">
        <v>1118</v>
      </c>
      <c r="I19" s="15" t="str">
        <f>_xlfn.XLOOKUP(A19,'Raw Project Data'!$C:$C,'Raw Project Data'!$F:$F)</f>
        <v>Riley Chen</v>
      </c>
    </row>
    <row r="20" spans="1:9" ht="16">
      <c r="A20" s="18" t="s">
        <v>127</v>
      </c>
      <c r="B20" s="17">
        <f>_xlfn.MAXIFS('Raw Project Data'!$M:$M,'Raw Project Data'!$C:$C,A20)</f>
        <v>45867</v>
      </c>
      <c r="C20" s="19">
        <f>COUNTIFS('Raw Project Data'!$C:$C,A20,'Raw Project Data'!$O:$O,"Completed")</f>
        <v>11</v>
      </c>
      <c r="D20" s="19">
        <f>COUNTIF('Raw Project Data'!$C:$C,A20)</f>
        <v>25</v>
      </c>
      <c r="E20" s="14">
        <f>COUNTIFS('Raw Project Data'!$C:$C,A20,'Raw Project Data'!$O:$O,"On Hold")</f>
        <v>1</v>
      </c>
      <c r="F20" s="14" t="str">
        <f t="shared" si="0"/>
        <v>Delayed</v>
      </c>
      <c r="G20" s="14"/>
      <c r="H20" s="16" t="s">
        <v>1118</v>
      </c>
      <c r="I20" s="15" t="str">
        <f>_xlfn.XLOOKUP(A20,'Raw Project Data'!$C:$C,'Raw Project Data'!$F:$F)</f>
        <v>Avery Brooks</v>
      </c>
    </row>
    <row r="21" spans="1:9" ht="16">
      <c r="A21" s="20" t="s">
        <v>130</v>
      </c>
      <c r="B21" s="17">
        <f>_xlfn.MAXIFS('Raw Project Data'!$M:$M,'Raw Project Data'!$C:$C,A21)</f>
        <v>45935</v>
      </c>
      <c r="C21" s="19">
        <f>COUNTIFS('Raw Project Data'!$C:$C,A21,'Raw Project Data'!$O:$O,"Completed")</f>
        <v>11</v>
      </c>
      <c r="D21" s="19">
        <f>COUNTIF('Raw Project Data'!$C:$C,A21)</f>
        <v>25</v>
      </c>
      <c r="E21" s="14">
        <f>COUNTIFS('Raw Project Data'!$C:$C,A21,'Raw Project Data'!$O:$O,"On Hold")</f>
        <v>3</v>
      </c>
      <c r="F21" s="14" t="str">
        <f t="shared" si="0"/>
        <v>Delayed</v>
      </c>
      <c r="G21" s="14"/>
      <c r="H21" s="16" t="s">
        <v>1118</v>
      </c>
      <c r="I21" s="15" t="str">
        <f>_xlfn.XLOOKUP(A21,'Raw Project Data'!$C:$C,'Raw Project Data'!$F:$F)</f>
        <v>Jordan Lee</v>
      </c>
    </row>
    <row r="22" spans="1:9" ht="16">
      <c r="A22" s="18" t="s">
        <v>133</v>
      </c>
      <c r="B22" s="17">
        <f>_xlfn.MAXIFS('Raw Project Data'!$M:$M,'Raw Project Data'!$C:$C,A22)</f>
        <v>45946</v>
      </c>
      <c r="C22" s="19">
        <f>COUNTIFS('Raw Project Data'!$C:$C,A22,'Raw Project Data'!$O:$O,"Completed")</f>
        <v>9</v>
      </c>
      <c r="D22" s="19">
        <f>COUNTIF('Raw Project Data'!$C:$C,A22)</f>
        <v>25</v>
      </c>
      <c r="E22" s="14">
        <f>COUNTIFS('Raw Project Data'!$C:$C,A22,'Raw Project Data'!$O:$O,"On Hold")</f>
        <v>0</v>
      </c>
      <c r="F22" s="14" t="str">
        <f t="shared" si="0"/>
        <v>Delayed</v>
      </c>
      <c r="G22" s="14"/>
      <c r="H22" s="16" t="s">
        <v>1118</v>
      </c>
      <c r="I22" s="15" t="str">
        <f>_xlfn.XLOOKUP(A22,'Raw Project Data'!$C:$C,'Raw Project Data'!$F:$F)</f>
        <v>Morgan Patel</v>
      </c>
    </row>
    <row r="23" spans="1:9" ht="16">
      <c r="A23" s="20" t="s">
        <v>136</v>
      </c>
      <c r="B23" s="17">
        <f>_xlfn.MAXIFS('Raw Project Data'!$M:$M,'Raw Project Data'!$C:$C,A23)</f>
        <v>46094</v>
      </c>
      <c r="C23" s="19">
        <f>COUNTIFS('Raw Project Data'!$C:$C,A23,'Raw Project Data'!$O:$O,"Completed")</f>
        <v>10</v>
      </c>
      <c r="D23" s="19">
        <f>COUNTIF('Raw Project Data'!$C:$C,A23)</f>
        <v>25</v>
      </c>
      <c r="E23" s="14">
        <f>COUNTIFS('Raw Project Data'!$C:$C,A23,'Raw Project Data'!$O:$O,"On Hold")</f>
        <v>1</v>
      </c>
      <c r="F23" s="14" t="str">
        <f t="shared" si="0"/>
        <v>Delayed</v>
      </c>
      <c r="G23" s="14"/>
      <c r="H23" s="16" t="s">
        <v>1118</v>
      </c>
      <c r="I23" s="15" t="str">
        <f>_xlfn.XLOOKUP(A23,'Raw Project Data'!$C:$C,'Raw Project Data'!$F:$F)</f>
        <v>Taylor Reed</v>
      </c>
    </row>
    <row r="24" spans="1:9" ht="16">
      <c r="A24" s="18" t="s">
        <v>139</v>
      </c>
      <c r="B24" s="17">
        <f>_xlfn.MAXIFS('Raw Project Data'!$M:$M,'Raw Project Data'!$C:$C,A24)</f>
        <v>46143</v>
      </c>
      <c r="C24" s="19">
        <f>COUNTIFS('Raw Project Data'!$C:$C,A24,'Raw Project Data'!$O:$O,"Completed")</f>
        <v>10</v>
      </c>
      <c r="D24" s="19">
        <f>COUNTIF('Raw Project Data'!$C:$C,A24)</f>
        <v>25</v>
      </c>
      <c r="E24" s="14">
        <f>COUNTIFS('Raw Project Data'!$C:$C,A24,'Raw Project Data'!$O:$O,"On Hold")</f>
        <v>1</v>
      </c>
      <c r="F24" s="14" t="str">
        <f t="shared" si="0"/>
        <v>Delayed</v>
      </c>
      <c r="G24" s="14"/>
      <c r="H24" s="16" t="s">
        <v>1118</v>
      </c>
      <c r="I24" s="15" t="str">
        <f>_xlfn.XLOOKUP(A24,'Raw Project Data'!$C:$C,'Raw Project Data'!$F:$F)</f>
        <v>Cameron Diaz</v>
      </c>
    </row>
    <row r="25" spans="1:9" ht="16">
      <c r="A25" s="20" t="s">
        <v>142</v>
      </c>
      <c r="B25" s="17">
        <f>_xlfn.MAXIFS('Raw Project Data'!$M:$M,'Raw Project Data'!$C:$C,A25)</f>
        <v>45825</v>
      </c>
      <c r="C25" s="19">
        <f>COUNTIFS('Raw Project Data'!$C:$C,A25,'Raw Project Data'!$O:$O,"Completed")</f>
        <v>14</v>
      </c>
      <c r="D25" s="19">
        <f>COUNTIF('Raw Project Data'!$C:$C,A25)</f>
        <v>25</v>
      </c>
      <c r="E25" s="14">
        <f>COUNTIFS('Raw Project Data'!$C:$C,A25,'Raw Project Data'!$O:$O,"On Hold")</f>
        <v>1</v>
      </c>
      <c r="F25" s="14" t="str">
        <f t="shared" si="0"/>
        <v>Delayed</v>
      </c>
      <c r="G25" s="14"/>
      <c r="H25" s="16" t="s">
        <v>1119</v>
      </c>
      <c r="I25" s="15" t="str">
        <f>_xlfn.XLOOKUP(A25,'Raw Project Data'!$C:$C,'Raw Project Data'!$F:$F)</f>
        <v>Riley Chen</v>
      </c>
    </row>
    <row r="26" spans="1:9" ht="16">
      <c r="A26" s="18" t="s">
        <v>146</v>
      </c>
      <c r="B26" s="17">
        <f>_xlfn.MAXIFS('Raw Project Data'!$M:$M,'Raw Project Data'!$C:$C,A26)</f>
        <v>46120</v>
      </c>
      <c r="C26" s="19">
        <f>COUNTIFS('Raw Project Data'!$C:$C,A26,'Raw Project Data'!$O:$O,"Completed")</f>
        <v>12</v>
      </c>
      <c r="D26" s="19">
        <f>COUNTIF('Raw Project Data'!$C:$C,A26)</f>
        <v>25</v>
      </c>
      <c r="E26" s="14">
        <f>COUNTIFS('Raw Project Data'!$C:$C,A26,'Raw Project Data'!$O:$O,"On Hold")</f>
        <v>3</v>
      </c>
      <c r="F26" s="14" t="str">
        <f t="shared" si="0"/>
        <v>Delayed</v>
      </c>
      <c r="G26" s="14"/>
      <c r="H26" s="16" t="s">
        <v>1119</v>
      </c>
      <c r="I26" s="15" t="str">
        <f>_xlfn.XLOOKUP(A26,'Raw Project Data'!$C:$C,'Raw Project Data'!$F:$F)</f>
        <v>Avery Brooks</v>
      </c>
    </row>
    <row r="27" spans="1:9" ht="16">
      <c r="A27" s="20" t="s">
        <v>149</v>
      </c>
      <c r="B27" s="17">
        <f>_xlfn.MAXIFS('Raw Project Data'!$M:$M,'Raw Project Data'!$C:$C,A27)</f>
        <v>45926</v>
      </c>
      <c r="C27" s="19">
        <f>COUNTIFS('Raw Project Data'!$C:$C,A27,'Raw Project Data'!$O:$O,"Completed")</f>
        <v>17</v>
      </c>
      <c r="D27" s="19">
        <f>COUNTIF('Raw Project Data'!$C:$C,A27)</f>
        <v>25</v>
      </c>
      <c r="E27" s="14">
        <f>COUNTIFS('Raw Project Data'!$C:$C,A27,'Raw Project Data'!$O:$O,"On Hold")</f>
        <v>1</v>
      </c>
      <c r="F27" s="14" t="str">
        <f t="shared" si="0"/>
        <v>Delayed</v>
      </c>
      <c r="G27" s="14"/>
      <c r="H27" s="16" t="s">
        <v>1119</v>
      </c>
      <c r="I27" s="15" t="str">
        <f>_xlfn.XLOOKUP(A27,'Raw Project Data'!$C:$C,'Raw Project Data'!$F:$F)</f>
        <v>Jordan Lee</v>
      </c>
    </row>
    <row r="28" spans="1:9" ht="16">
      <c r="A28" s="18" t="s">
        <v>152</v>
      </c>
      <c r="B28" s="17">
        <f>_xlfn.MAXIFS('Raw Project Data'!$M:$M,'Raw Project Data'!$C:$C,A28)</f>
        <v>46183</v>
      </c>
      <c r="C28" s="19">
        <f>COUNTIFS('Raw Project Data'!$C:$C,A28,'Raw Project Data'!$O:$O,"Completed")</f>
        <v>12</v>
      </c>
      <c r="D28" s="19">
        <f>COUNTIF('Raw Project Data'!$C:$C,A28)</f>
        <v>25</v>
      </c>
      <c r="E28" s="14">
        <f>COUNTIFS('Raw Project Data'!$C:$C,A28,'Raw Project Data'!$O:$O,"On Hold")</f>
        <v>1</v>
      </c>
      <c r="F28" s="14" t="str">
        <f t="shared" si="0"/>
        <v>Delayed</v>
      </c>
      <c r="G28" s="14"/>
      <c r="H28" s="16" t="s">
        <v>1119</v>
      </c>
      <c r="I28" s="15" t="str">
        <f>_xlfn.XLOOKUP(A28,'Raw Project Data'!$C:$C,'Raw Project Data'!$F:$F)</f>
        <v>Morgan Patel</v>
      </c>
    </row>
    <row r="29" spans="1:9" ht="16">
      <c r="A29" s="20" t="s">
        <v>155</v>
      </c>
      <c r="B29" s="17">
        <f>_xlfn.MAXIFS('Raw Project Data'!$M:$M,'Raw Project Data'!$C:$C,A29)</f>
        <v>46167</v>
      </c>
      <c r="C29" s="19">
        <f>COUNTIFS('Raw Project Data'!$C:$C,A29,'Raw Project Data'!$O:$O,"Completed")</f>
        <v>13</v>
      </c>
      <c r="D29" s="19">
        <f>COUNTIF('Raw Project Data'!$C:$C,A29)</f>
        <v>25</v>
      </c>
      <c r="E29" s="14">
        <f>COUNTIFS('Raw Project Data'!$C:$C,A29,'Raw Project Data'!$O:$O,"On Hold")</f>
        <v>3</v>
      </c>
      <c r="F29" s="14" t="str">
        <f t="shared" si="0"/>
        <v>Delayed</v>
      </c>
      <c r="G29" s="14"/>
      <c r="H29" s="16" t="s">
        <v>1119</v>
      </c>
      <c r="I29" s="15" t="str">
        <f>_xlfn.XLOOKUP(A29,'Raw Project Data'!$C:$C,'Raw Project Data'!$F:$F)</f>
        <v>Taylor Reed</v>
      </c>
    </row>
    <row r="30" spans="1:9" ht="16">
      <c r="A30" s="18" t="s">
        <v>158</v>
      </c>
      <c r="B30" s="17">
        <f>_xlfn.MAXIFS('Raw Project Data'!$M:$M,'Raw Project Data'!$C:$C,A30)</f>
        <v>46174</v>
      </c>
      <c r="C30" s="19">
        <f>COUNTIFS('Raw Project Data'!$C:$C,A30,'Raw Project Data'!$O:$O,"Completed")</f>
        <v>13</v>
      </c>
      <c r="D30" s="19">
        <f>COUNTIF('Raw Project Data'!$C:$C,A30)</f>
        <v>25</v>
      </c>
      <c r="E30" s="14">
        <f>COUNTIFS('Raw Project Data'!$C:$C,A30,'Raw Project Data'!$O:$O,"On Hold")</f>
        <v>0</v>
      </c>
      <c r="F30" s="14" t="str">
        <f t="shared" si="0"/>
        <v>Delayed</v>
      </c>
      <c r="G30" s="14"/>
      <c r="H30" s="16" t="s">
        <v>1119</v>
      </c>
      <c r="I30" s="15" t="str">
        <f>_xlfn.XLOOKUP(A30,'Raw Project Data'!$C:$C,'Raw Project Data'!$F:$F)</f>
        <v>Cameron Diaz</v>
      </c>
    </row>
    <row r="31" spans="1:9" ht="16">
      <c r="A31" s="20" t="s">
        <v>161</v>
      </c>
      <c r="B31" s="17">
        <f>_xlfn.MAXIFS('Raw Project Data'!$M:$M,'Raw Project Data'!$C:$C,A31)</f>
        <v>46112</v>
      </c>
      <c r="C31" s="19">
        <f>COUNTIFS('Raw Project Data'!$C:$C,A31,'Raw Project Data'!$O:$O,"Completed")</f>
        <v>14</v>
      </c>
      <c r="D31" s="19">
        <f>COUNTIF('Raw Project Data'!$C:$C,A31)</f>
        <v>25</v>
      </c>
      <c r="E31" s="14">
        <f>COUNTIFS('Raw Project Data'!$C:$C,A31,'Raw Project Data'!$O:$O,"On Hold")</f>
        <v>2</v>
      </c>
      <c r="F31" s="14" t="str">
        <f t="shared" si="0"/>
        <v>Delayed</v>
      </c>
      <c r="G31" s="14"/>
      <c r="H31" s="16" t="s">
        <v>1119</v>
      </c>
      <c r="I31" s="15" t="str">
        <f>_xlfn.XLOOKUP(A31,'Raw Project Data'!$C:$C,'Raw Project Data'!$F:$F)</f>
        <v>Riley Chen</v>
      </c>
    </row>
    <row r="38" spans="3:3">
      <c r="C38" t="s">
        <v>1120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751"/>
  <sheetViews>
    <sheetView topLeftCell="A2" zoomScale="176" workbookViewId="0">
      <selection activeCell="B19" sqref="B19"/>
    </sheetView>
  </sheetViews>
  <sheetFormatPr baseColWidth="10" defaultColWidth="8.83203125" defaultRowHeight="14"/>
  <cols>
    <col min="1" max="1" width="12" customWidth="1"/>
    <col min="2" max="2" width="15.33203125" customWidth="1"/>
    <col min="3" max="3" width="45.33203125" customWidth="1"/>
    <col min="4" max="4" width="18" customWidth="1"/>
    <col min="5" max="5" width="22" customWidth="1"/>
    <col min="6" max="6" width="20" customWidth="1"/>
    <col min="7" max="7" width="17" customWidth="1"/>
    <col min="8" max="8" width="20" customWidth="1"/>
    <col min="9" max="10" width="11" customWidth="1"/>
    <col min="11" max="11" width="20" customWidth="1"/>
    <col min="12" max="12" width="18.1640625" customWidth="1"/>
    <col min="13" max="13" width="19.6640625" customWidth="1"/>
    <col min="14" max="15" width="14" customWidth="1"/>
    <col min="16" max="16" width="15" customWidth="1"/>
    <col min="17" max="18" width="16" customWidth="1"/>
    <col min="19" max="19" width="12" customWidth="1"/>
    <col min="20" max="20" width="12.1640625" customWidth="1"/>
    <col min="21" max="21" width="20.6640625" customWidth="1"/>
    <col min="22" max="22" width="17.33203125" customWidth="1"/>
  </cols>
  <sheetData>
    <row r="1" spans="1:22" ht="15">
      <c r="A1" s="7" t="s">
        <v>2</v>
      </c>
      <c r="B1" s="7" t="s">
        <v>3</v>
      </c>
      <c r="C1" s="7" t="s">
        <v>4</v>
      </c>
      <c r="D1" s="7" t="s">
        <v>5</v>
      </c>
      <c r="E1" s="7" t="s">
        <v>6</v>
      </c>
      <c r="F1" s="7" t="s">
        <v>7</v>
      </c>
      <c r="G1" s="7" t="s">
        <v>8</v>
      </c>
      <c r="H1" s="7" t="s">
        <v>9</v>
      </c>
      <c r="I1" s="7" t="s">
        <v>10</v>
      </c>
      <c r="J1" s="7" t="s">
        <v>11</v>
      </c>
      <c r="K1" s="7" t="s">
        <v>12</v>
      </c>
      <c r="L1" s="7" t="s">
        <v>13</v>
      </c>
      <c r="M1" s="7" t="s">
        <v>14</v>
      </c>
      <c r="N1" s="7" t="s">
        <v>15</v>
      </c>
      <c r="O1" s="7" t="s">
        <v>16</v>
      </c>
      <c r="P1" s="7" t="s">
        <v>17</v>
      </c>
      <c r="Q1" s="7" t="s">
        <v>18</v>
      </c>
      <c r="R1" s="7" t="s">
        <v>19</v>
      </c>
      <c r="S1" s="7" t="s">
        <v>20</v>
      </c>
      <c r="T1" t="s">
        <v>1104</v>
      </c>
      <c r="U1" t="s">
        <v>1106</v>
      </c>
      <c r="V1" t="s">
        <v>1109</v>
      </c>
    </row>
    <row r="2" spans="1:22">
      <c r="A2" t="s">
        <v>21</v>
      </c>
      <c r="B2" t="s">
        <v>22</v>
      </c>
      <c r="C2" t="s">
        <v>23</v>
      </c>
      <c r="D2" t="s">
        <v>24</v>
      </c>
      <c r="E2" t="s">
        <v>25</v>
      </c>
      <c r="F2" t="s">
        <v>26</v>
      </c>
      <c r="G2" t="s">
        <v>27</v>
      </c>
      <c r="H2" t="s">
        <v>28</v>
      </c>
      <c r="I2" t="s">
        <v>29</v>
      </c>
      <c r="J2" t="s">
        <v>30</v>
      </c>
      <c r="K2" t="s">
        <v>31</v>
      </c>
      <c r="L2" s="4">
        <v>45991</v>
      </c>
      <c r="M2" s="4">
        <v>46018</v>
      </c>
      <c r="N2" s="4">
        <v>46018</v>
      </c>
      <c r="O2" t="s">
        <v>32</v>
      </c>
      <c r="P2" s="5">
        <v>1</v>
      </c>
      <c r="Q2" s="6">
        <v>8300</v>
      </c>
      <c r="R2" s="6">
        <v>7677.14</v>
      </c>
      <c r="S2">
        <v>2</v>
      </c>
      <c r="T2">
        <f t="shared" ref="T2:T65" si="0">IF(N2="","",MAX(0,N2-M2))</f>
        <v>0</v>
      </c>
      <c r="U2">
        <f>IF(COUNTIFS($B$2:B2,B2,$F$2:F2,F2)=1,1,0)</f>
        <v>1</v>
      </c>
      <c r="V2" s="13">
        <f t="shared" ref="V2:V65" si="1">Q2-R2</f>
        <v>622.85999999999967</v>
      </c>
    </row>
    <row r="3" spans="1:22">
      <c r="A3" t="s">
        <v>33</v>
      </c>
      <c r="B3" t="s">
        <v>34</v>
      </c>
      <c r="C3" t="s">
        <v>35</v>
      </c>
      <c r="D3" t="s">
        <v>36</v>
      </c>
      <c r="E3" t="s">
        <v>37</v>
      </c>
      <c r="F3" t="s">
        <v>38</v>
      </c>
      <c r="G3" t="s">
        <v>39</v>
      </c>
      <c r="H3" t="s">
        <v>40</v>
      </c>
      <c r="I3" t="s">
        <v>30</v>
      </c>
      <c r="J3" t="s">
        <v>30</v>
      </c>
      <c r="K3" t="s">
        <v>41</v>
      </c>
      <c r="L3" s="4">
        <v>45787</v>
      </c>
      <c r="M3" s="4">
        <v>45815</v>
      </c>
      <c r="N3" s="4"/>
      <c r="O3" t="s">
        <v>32</v>
      </c>
      <c r="P3" s="5">
        <v>0</v>
      </c>
      <c r="Q3" s="6">
        <v>21500</v>
      </c>
      <c r="R3" s="6">
        <v>0</v>
      </c>
      <c r="S3">
        <v>3</v>
      </c>
      <c r="T3" t="str">
        <f t="shared" si="0"/>
        <v/>
      </c>
      <c r="U3">
        <f>IF(COUNTIFS($B$2:B3,B3,$F$2:F3,F3)=1,1,0)</f>
        <v>1</v>
      </c>
      <c r="V3" s="13">
        <f t="shared" si="1"/>
        <v>21500</v>
      </c>
    </row>
    <row r="4" spans="1:22">
      <c r="A4" t="s">
        <v>43</v>
      </c>
      <c r="B4" t="s">
        <v>44</v>
      </c>
      <c r="C4" t="s">
        <v>45</v>
      </c>
      <c r="D4" t="s">
        <v>46</v>
      </c>
      <c r="E4" t="s">
        <v>47</v>
      </c>
      <c r="F4" t="s">
        <v>48</v>
      </c>
      <c r="G4" t="s">
        <v>49</v>
      </c>
      <c r="H4" t="s">
        <v>50</v>
      </c>
      <c r="I4" t="s">
        <v>30</v>
      </c>
      <c r="J4" t="s">
        <v>30</v>
      </c>
      <c r="K4" t="s">
        <v>51</v>
      </c>
      <c r="L4" s="4">
        <v>45767</v>
      </c>
      <c r="M4" s="4">
        <v>45788</v>
      </c>
      <c r="N4" s="4"/>
      <c r="O4" t="s">
        <v>32</v>
      </c>
      <c r="P4" s="5">
        <v>0.25</v>
      </c>
      <c r="Q4" s="6">
        <v>3500</v>
      </c>
      <c r="R4" s="6">
        <v>4184.71</v>
      </c>
      <c r="S4">
        <v>1</v>
      </c>
      <c r="T4" t="str">
        <f t="shared" si="0"/>
        <v/>
      </c>
      <c r="U4">
        <f>IF(COUNTIFS($B$2:B4,B4,$F$2:F4,F4)=1,1,0)</f>
        <v>1</v>
      </c>
      <c r="V4" s="13">
        <f t="shared" si="1"/>
        <v>-684.71</v>
      </c>
    </row>
    <row r="5" spans="1:22">
      <c r="A5" t="s">
        <v>53</v>
      </c>
      <c r="B5" t="s">
        <v>54</v>
      </c>
      <c r="C5" t="s">
        <v>55</v>
      </c>
      <c r="D5" t="s">
        <v>56</v>
      </c>
      <c r="E5" t="s">
        <v>57</v>
      </c>
      <c r="F5" t="s">
        <v>58</v>
      </c>
      <c r="G5" t="s">
        <v>59</v>
      </c>
      <c r="H5" t="s">
        <v>60</v>
      </c>
      <c r="I5" t="s">
        <v>30</v>
      </c>
      <c r="J5" t="s">
        <v>30</v>
      </c>
      <c r="K5" t="s">
        <v>31</v>
      </c>
      <c r="L5" s="4">
        <v>46113</v>
      </c>
      <c r="M5" s="4">
        <v>46130</v>
      </c>
      <c r="N5" s="4">
        <v>46138</v>
      </c>
      <c r="O5" t="s">
        <v>32</v>
      </c>
      <c r="P5" s="5">
        <v>1</v>
      </c>
      <c r="Q5" s="6">
        <v>17400</v>
      </c>
      <c r="R5" s="6">
        <v>16848.48</v>
      </c>
      <c r="S5">
        <v>2</v>
      </c>
      <c r="T5">
        <f t="shared" si="0"/>
        <v>8</v>
      </c>
      <c r="U5">
        <f>IF(COUNTIFS($B$2:B5,B5,$F$2:F5,F5)=1,1,0)</f>
        <v>1</v>
      </c>
      <c r="V5" s="13">
        <f t="shared" si="1"/>
        <v>551.52000000000044</v>
      </c>
    </row>
    <row r="6" spans="1:22">
      <c r="A6" t="s">
        <v>61</v>
      </c>
      <c r="B6" t="s">
        <v>62</v>
      </c>
      <c r="C6" t="s">
        <v>63</v>
      </c>
      <c r="D6" t="s">
        <v>64</v>
      </c>
      <c r="E6" t="s">
        <v>65</v>
      </c>
      <c r="F6" t="s">
        <v>66</v>
      </c>
      <c r="G6" t="s">
        <v>67</v>
      </c>
      <c r="H6" t="s">
        <v>68</v>
      </c>
      <c r="I6" t="s">
        <v>29</v>
      </c>
      <c r="J6" t="s">
        <v>69</v>
      </c>
      <c r="K6" t="s">
        <v>51</v>
      </c>
      <c r="L6" s="4">
        <v>45846</v>
      </c>
      <c r="M6" s="4">
        <v>45866</v>
      </c>
      <c r="N6" s="4">
        <v>45872</v>
      </c>
      <c r="O6" t="s">
        <v>32</v>
      </c>
      <c r="P6" s="5">
        <v>1</v>
      </c>
      <c r="Q6" s="6">
        <v>44500</v>
      </c>
      <c r="R6" s="6">
        <v>51706.33</v>
      </c>
      <c r="S6">
        <v>2</v>
      </c>
      <c r="T6">
        <f t="shared" si="0"/>
        <v>6</v>
      </c>
      <c r="U6">
        <f>IF(COUNTIFS($B$2:B6,B6,$F$2:F6,F6)=1,1,0)</f>
        <v>1</v>
      </c>
      <c r="V6" s="13">
        <f t="shared" si="1"/>
        <v>-7206.3300000000017</v>
      </c>
    </row>
    <row r="7" spans="1:22">
      <c r="A7" t="s">
        <v>70</v>
      </c>
      <c r="B7" t="s">
        <v>71</v>
      </c>
      <c r="C7" t="s">
        <v>72</v>
      </c>
      <c r="D7" t="s">
        <v>73</v>
      </c>
      <c r="E7" t="s">
        <v>74</v>
      </c>
      <c r="F7" t="s">
        <v>75</v>
      </c>
      <c r="G7" t="s">
        <v>76</v>
      </c>
      <c r="H7" t="s">
        <v>77</v>
      </c>
      <c r="I7" t="s">
        <v>69</v>
      </c>
      <c r="J7" t="s">
        <v>29</v>
      </c>
      <c r="K7" t="s">
        <v>78</v>
      </c>
      <c r="L7" s="4">
        <v>45846</v>
      </c>
      <c r="M7" s="4">
        <v>45875</v>
      </c>
      <c r="N7" s="4"/>
      <c r="O7" t="s">
        <v>32</v>
      </c>
      <c r="P7" s="5">
        <v>0</v>
      </c>
      <c r="Q7" s="6">
        <v>15200</v>
      </c>
      <c r="R7" s="6">
        <v>0</v>
      </c>
      <c r="S7">
        <v>2</v>
      </c>
      <c r="T7" t="str">
        <f t="shared" si="0"/>
        <v/>
      </c>
      <c r="U7">
        <f>IF(COUNTIFS($B$2:B7,B7,$F$2:F7,F7)=1,1,0)</f>
        <v>1</v>
      </c>
      <c r="V7" s="13">
        <f t="shared" si="1"/>
        <v>15200</v>
      </c>
    </row>
    <row r="8" spans="1:22">
      <c r="A8" t="s">
        <v>79</v>
      </c>
      <c r="B8" t="s">
        <v>80</v>
      </c>
      <c r="C8" t="s">
        <v>81</v>
      </c>
      <c r="D8" t="s">
        <v>82</v>
      </c>
      <c r="E8" t="s">
        <v>83</v>
      </c>
      <c r="F8" t="s">
        <v>26</v>
      </c>
      <c r="G8" t="s">
        <v>84</v>
      </c>
      <c r="H8" t="s">
        <v>85</v>
      </c>
      <c r="I8" t="s">
        <v>86</v>
      </c>
      <c r="J8" t="s">
        <v>69</v>
      </c>
      <c r="K8" t="s">
        <v>31</v>
      </c>
      <c r="L8" s="4">
        <v>45904</v>
      </c>
      <c r="M8" s="4">
        <v>45919</v>
      </c>
      <c r="N8" s="4">
        <v>45926</v>
      </c>
      <c r="O8" t="s">
        <v>32</v>
      </c>
      <c r="P8" s="5">
        <v>1</v>
      </c>
      <c r="Q8" s="6">
        <v>29500</v>
      </c>
      <c r="R8" s="6">
        <v>32674.49</v>
      </c>
      <c r="S8">
        <v>4</v>
      </c>
      <c r="T8">
        <f t="shared" si="0"/>
        <v>7</v>
      </c>
      <c r="U8">
        <f>IF(COUNTIFS($B$2:B8,B8,$F$2:F8,F8)=1,1,0)</f>
        <v>1</v>
      </c>
      <c r="V8" s="13">
        <f t="shared" si="1"/>
        <v>-3174.4900000000016</v>
      </c>
    </row>
    <row r="9" spans="1:22">
      <c r="A9" t="s">
        <v>87</v>
      </c>
      <c r="B9" t="s">
        <v>88</v>
      </c>
      <c r="C9" t="s">
        <v>89</v>
      </c>
      <c r="D9" t="s">
        <v>24</v>
      </c>
      <c r="E9" t="s">
        <v>25</v>
      </c>
      <c r="F9" t="s">
        <v>38</v>
      </c>
      <c r="G9" t="s">
        <v>90</v>
      </c>
      <c r="H9" t="s">
        <v>91</v>
      </c>
      <c r="I9" t="s">
        <v>69</v>
      </c>
      <c r="J9" t="s">
        <v>29</v>
      </c>
      <c r="K9" t="s">
        <v>78</v>
      </c>
      <c r="L9" s="4">
        <v>45843</v>
      </c>
      <c r="M9" s="4">
        <v>45864</v>
      </c>
      <c r="N9" s="4"/>
      <c r="O9" t="s">
        <v>32</v>
      </c>
      <c r="P9" s="5">
        <v>0.4</v>
      </c>
      <c r="Q9" s="6">
        <v>44900</v>
      </c>
      <c r="R9" s="6">
        <v>49516.480000000003</v>
      </c>
      <c r="S9">
        <v>3</v>
      </c>
      <c r="T9" t="str">
        <f t="shared" si="0"/>
        <v/>
      </c>
      <c r="U9">
        <f>IF(COUNTIFS($B$2:B9,B9,$F$2:F9,F9)=1,1,0)</f>
        <v>1</v>
      </c>
      <c r="V9" s="13">
        <f t="shared" si="1"/>
        <v>-4616.4800000000032</v>
      </c>
    </row>
    <row r="10" spans="1:22">
      <c r="A10" t="s">
        <v>92</v>
      </c>
      <c r="B10" t="s">
        <v>93</v>
      </c>
      <c r="C10" t="s">
        <v>94</v>
      </c>
      <c r="D10" t="s">
        <v>36</v>
      </c>
      <c r="E10" t="s">
        <v>37</v>
      </c>
      <c r="F10" t="s">
        <v>48</v>
      </c>
      <c r="G10" t="s">
        <v>95</v>
      </c>
      <c r="H10" t="s">
        <v>96</v>
      </c>
      <c r="I10" t="s">
        <v>69</v>
      </c>
      <c r="J10" t="s">
        <v>69</v>
      </c>
      <c r="K10" t="s">
        <v>31</v>
      </c>
      <c r="L10" s="4">
        <v>46080</v>
      </c>
      <c r="M10" s="4">
        <v>46108</v>
      </c>
      <c r="N10" s="4">
        <v>46104</v>
      </c>
      <c r="O10" t="s">
        <v>32</v>
      </c>
      <c r="P10" s="5">
        <v>1</v>
      </c>
      <c r="Q10" s="6">
        <v>27400</v>
      </c>
      <c r="R10" s="6">
        <v>27626.5</v>
      </c>
      <c r="S10">
        <v>2</v>
      </c>
      <c r="T10">
        <f t="shared" si="0"/>
        <v>0</v>
      </c>
      <c r="U10">
        <f>IF(COUNTIFS($B$2:B10,B10,$F$2:F10,F10)=1,1,0)</f>
        <v>1</v>
      </c>
      <c r="V10" s="13">
        <f t="shared" si="1"/>
        <v>-226.5</v>
      </c>
    </row>
    <row r="11" spans="1:22">
      <c r="A11" t="s">
        <v>97</v>
      </c>
      <c r="B11" t="s">
        <v>98</v>
      </c>
      <c r="C11" t="s">
        <v>99</v>
      </c>
      <c r="D11" t="s">
        <v>46</v>
      </c>
      <c r="E11" t="s">
        <v>47</v>
      </c>
      <c r="F11" t="s">
        <v>58</v>
      </c>
      <c r="G11" t="s">
        <v>27</v>
      </c>
      <c r="H11" t="s">
        <v>28</v>
      </c>
      <c r="I11" t="s">
        <v>29</v>
      </c>
      <c r="J11" t="s">
        <v>69</v>
      </c>
      <c r="K11" t="s">
        <v>78</v>
      </c>
      <c r="L11" s="4">
        <v>45744</v>
      </c>
      <c r="M11" s="4">
        <v>45768</v>
      </c>
      <c r="N11" s="4">
        <v>45771</v>
      </c>
      <c r="O11" t="s">
        <v>32</v>
      </c>
      <c r="P11" s="5">
        <v>1</v>
      </c>
      <c r="Q11" s="6">
        <v>34200</v>
      </c>
      <c r="R11" s="6">
        <v>36993.980000000003</v>
      </c>
      <c r="S11">
        <v>2</v>
      </c>
      <c r="T11">
        <f t="shared" si="0"/>
        <v>3</v>
      </c>
      <c r="U11">
        <f>IF(COUNTIFS($B$2:B11,B11,$F$2:F11,F11)=1,1,0)</f>
        <v>1</v>
      </c>
      <c r="V11" s="13">
        <f t="shared" si="1"/>
        <v>-2793.9800000000032</v>
      </c>
    </row>
    <row r="12" spans="1:22">
      <c r="A12" t="s">
        <v>100</v>
      </c>
      <c r="B12" t="s">
        <v>101</v>
      </c>
      <c r="C12" t="s">
        <v>102</v>
      </c>
      <c r="D12" t="s">
        <v>56</v>
      </c>
      <c r="E12" t="s">
        <v>57</v>
      </c>
      <c r="F12" t="s">
        <v>66</v>
      </c>
      <c r="G12" t="s">
        <v>39</v>
      </c>
      <c r="H12" t="s">
        <v>40</v>
      </c>
      <c r="I12" t="s">
        <v>29</v>
      </c>
      <c r="J12" t="s">
        <v>30</v>
      </c>
      <c r="K12" t="s">
        <v>31</v>
      </c>
      <c r="L12" s="4">
        <v>46076</v>
      </c>
      <c r="M12" s="4">
        <v>46095</v>
      </c>
      <c r="N12" s="4">
        <v>46094</v>
      </c>
      <c r="O12" t="s">
        <v>32</v>
      </c>
      <c r="P12" s="5">
        <v>1</v>
      </c>
      <c r="Q12" s="6">
        <v>28700</v>
      </c>
      <c r="R12" s="6">
        <v>29201.75</v>
      </c>
      <c r="S12">
        <v>2</v>
      </c>
      <c r="T12">
        <f t="shared" si="0"/>
        <v>0</v>
      </c>
      <c r="U12">
        <f>IF(COUNTIFS($B$2:B12,B12,$F$2:F12,F12)=1,1,0)</f>
        <v>1</v>
      </c>
      <c r="V12" s="13">
        <f t="shared" si="1"/>
        <v>-501.75</v>
      </c>
    </row>
    <row r="13" spans="1:22">
      <c r="A13" t="s">
        <v>103</v>
      </c>
      <c r="B13" t="s">
        <v>104</v>
      </c>
      <c r="C13" t="s">
        <v>105</v>
      </c>
      <c r="D13" t="s">
        <v>64</v>
      </c>
      <c r="E13" t="s">
        <v>65</v>
      </c>
      <c r="F13" t="s">
        <v>75</v>
      </c>
      <c r="G13" t="s">
        <v>49</v>
      </c>
      <c r="H13" t="s">
        <v>50</v>
      </c>
      <c r="I13" t="s">
        <v>29</v>
      </c>
      <c r="J13" t="s">
        <v>30</v>
      </c>
      <c r="K13" t="s">
        <v>31</v>
      </c>
      <c r="L13" s="4">
        <v>46177</v>
      </c>
      <c r="M13" s="4">
        <v>46180</v>
      </c>
      <c r="N13" s="4">
        <v>46175</v>
      </c>
      <c r="O13" t="s">
        <v>32</v>
      </c>
      <c r="P13" s="5">
        <v>1</v>
      </c>
      <c r="Q13" s="6">
        <v>22800</v>
      </c>
      <c r="R13" s="6">
        <v>25073.279999999999</v>
      </c>
      <c r="S13">
        <v>2</v>
      </c>
      <c r="T13">
        <f t="shared" si="0"/>
        <v>0</v>
      </c>
      <c r="U13">
        <f>IF(COUNTIFS($B$2:B13,B13,$F$2:F13,F13)=1,1,0)</f>
        <v>1</v>
      </c>
      <c r="V13" s="13">
        <f t="shared" si="1"/>
        <v>-2273.2799999999988</v>
      </c>
    </row>
    <row r="14" spans="1:22">
      <c r="A14" t="s">
        <v>106</v>
      </c>
      <c r="B14" t="s">
        <v>107</v>
      </c>
      <c r="C14" t="s">
        <v>108</v>
      </c>
      <c r="D14" t="s">
        <v>73</v>
      </c>
      <c r="E14" t="s">
        <v>74</v>
      </c>
      <c r="F14" t="s">
        <v>26</v>
      </c>
      <c r="G14" t="s">
        <v>59</v>
      </c>
      <c r="H14" t="s">
        <v>60</v>
      </c>
      <c r="I14" t="s">
        <v>86</v>
      </c>
      <c r="J14" t="s">
        <v>29</v>
      </c>
      <c r="K14" t="s">
        <v>31</v>
      </c>
      <c r="L14" s="4">
        <v>46003</v>
      </c>
      <c r="M14" s="4">
        <v>46024</v>
      </c>
      <c r="N14" s="4"/>
      <c r="O14" t="s">
        <v>109</v>
      </c>
      <c r="P14" s="5">
        <v>0.1</v>
      </c>
      <c r="Q14" s="6">
        <v>33300</v>
      </c>
      <c r="R14" s="6">
        <v>38044.54</v>
      </c>
      <c r="S14">
        <v>0</v>
      </c>
      <c r="T14" t="str">
        <f t="shared" si="0"/>
        <v/>
      </c>
      <c r="U14">
        <f>IF(COUNTIFS($B$2:B14,B14,$F$2:F14,F14)=1,1,0)</f>
        <v>1</v>
      </c>
      <c r="V14" s="13">
        <f t="shared" si="1"/>
        <v>-4744.5400000000009</v>
      </c>
    </row>
    <row r="15" spans="1:22">
      <c r="A15" t="s">
        <v>110</v>
      </c>
      <c r="B15" t="s">
        <v>111</v>
      </c>
      <c r="C15" t="s">
        <v>112</v>
      </c>
      <c r="D15" t="s">
        <v>82</v>
      </c>
      <c r="E15" t="s">
        <v>83</v>
      </c>
      <c r="F15" t="s">
        <v>38</v>
      </c>
      <c r="G15" t="s">
        <v>67</v>
      </c>
      <c r="H15" t="s">
        <v>68</v>
      </c>
      <c r="I15" t="s">
        <v>29</v>
      </c>
      <c r="J15" t="s">
        <v>30</v>
      </c>
      <c r="K15" t="s">
        <v>51</v>
      </c>
      <c r="L15" s="4">
        <v>45847</v>
      </c>
      <c r="M15" s="4">
        <v>45855</v>
      </c>
      <c r="N15" s="4"/>
      <c r="O15" t="s">
        <v>52</v>
      </c>
      <c r="P15" s="5">
        <v>0.9</v>
      </c>
      <c r="Q15" s="6">
        <v>27900</v>
      </c>
      <c r="R15" s="6">
        <v>35339</v>
      </c>
      <c r="S15">
        <v>1</v>
      </c>
      <c r="T15" t="str">
        <f t="shared" si="0"/>
        <v/>
      </c>
      <c r="U15">
        <f>IF(COUNTIFS($B$2:B15,B15,$F$2:F15,F15)=1,1,0)</f>
        <v>1</v>
      </c>
      <c r="V15" s="13">
        <f t="shared" si="1"/>
        <v>-7439</v>
      </c>
    </row>
    <row r="16" spans="1:22">
      <c r="A16" t="s">
        <v>113</v>
      </c>
      <c r="B16" t="s">
        <v>114</v>
      </c>
      <c r="C16" t="s">
        <v>115</v>
      </c>
      <c r="D16" t="s">
        <v>24</v>
      </c>
      <c r="E16" t="s">
        <v>25</v>
      </c>
      <c r="F16" t="s">
        <v>48</v>
      </c>
      <c r="G16" t="s">
        <v>76</v>
      </c>
      <c r="H16" t="s">
        <v>77</v>
      </c>
      <c r="I16" t="s">
        <v>69</v>
      </c>
      <c r="J16" t="s">
        <v>29</v>
      </c>
      <c r="K16" t="s">
        <v>78</v>
      </c>
      <c r="L16" s="4">
        <v>46067</v>
      </c>
      <c r="M16" s="4">
        <v>46091</v>
      </c>
      <c r="N16" s="4">
        <v>46085</v>
      </c>
      <c r="O16" t="s">
        <v>32</v>
      </c>
      <c r="P16" s="5">
        <v>1</v>
      </c>
      <c r="Q16" s="6">
        <v>6800</v>
      </c>
      <c r="R16" s="6">
        <v>7278.47</v>
      </c>
      <c r="S16">
        <v>2</v>
      </c>
      <c r="T16">
        <f t="shared" si="0"/>
        <v>0</v>
      </c>
      <c r="U16">
        <f>IF(COUNTIFS($B$2:B16,B16,$F$2:F16,F16)=1,1,0)</f>
        <v>1</v>
      </c>
      <c r="V16" s="13">
        <f t="shared" si="1"/>
        <v>-478.47000000000025</v>
      </c>
    </row>
    <row r="17" spans="1:22">
      <c r="A17" t="s">
        <v>116</v>
      </c>
      <c r="B17" t="s">
        <v>117</v>
      </c>
      <c r="C17" t="s">
        <v>118</v>
      </c>
      <c r="D17" t="s">
        <v>36</v>
      </c>
      <c r="E17" t="s">
        <v>37</v>
      </c>
      <c r="F17" t="s">
        <v>58</v>
      </c>
      <c r="G17" t="s">
        <v>84</v>
      </c>
      <c r="H17" t="s">
        <v>85</v>
      </c>
      <c r="I17" t="s">
        <v>69</v>
      </c>
      <c r="J17" t="s">
        <v>30</v>
      </c>
      <c r="K17" t="s">
        <v>31</v>
      </c>
      <c r="L17" s="4">
        <v>45897</v>
      </c>
      <c r="M17" s="4">
        <v>45922</v>
      </c>
      <c r="N17" s="4">
        <v>45930</v>
      </c>
      <c r="O17" t="s">
        <v>32</v>
      </c>
      <c r="P17" s="5">
        <v>1</v>
      </c>
      <c r="Q17" s="6">
        <v>11500</v>
      </c>
      <c r="R17" s="6">
        <v>13807.05</v>
      </c>
      <c r="S17">
        <v>0</v>
      </c>
      <c r="T17">
        <f t="shared" si="0"/>
        <v>8</v>
      </c>
      <c r="U17">
        <f>IF(COUNTIFS($B$2:B17,B17,$F$2:F17,F17)=1,1,0)</f>
        <v>1</v>
      </c>
      <c r="V17" s="13">
        <f t="shared" si="1"/>
        <v>-2307.0499999999993</v>
      </c>
    </row>
    <row r="18" spans="1:22">
      <c r="A18" t="s">
        <v>119</v>
      </c>
      <c r="B18" t="s">
        <v>120</v>
      </c>
      <c r="C18" t="s">
        <v>121</v>
      </c>
      <c r="D18" t="s">
        <v>46</v>
      </c>
      <c r="E18" t="s">
        <v>47</v>
      </c>
      <c r="F18" t="s">
        <v>66</v>
      </c>
      <c r="G18" t="s">
        <v>90</v>
      </c>
      <c r="H18" t="s">
        <v>91</v>
      </c>
      <c r="I18" t="s">
        <v>30</v>
      </c>
      <c r="J18" t="s">
        <v>30</v>
      </c>
      <c r="K18" t="s">
        <v>51</v>
      </c>
      <c r="L18" s="4">
        <v>45733</v>
      </c>
      <c r="M18" s="4">
        <v>45753</v>
      </c>
      <c r="N18" s="4"/>
      <c r="O18" t="s">
        <v>42</v>
      </c>
      <c r="P18" s="5">
        <v>0</v>
      </c>
      <c r="Q18" s="6">
        <v>42200</v>
      </c>
      <c r="R18" s="6">
        <v>0</v>
      </c>
      <c r="S18">
        <v>1</v>
      </c>
      <c r="T18" t="str">
        <f t="shared" si="0"/>
        <v/>
      </c>
      <c r="U18">
        <f>IF(COUNTIFS($B$2:B18,B18,$F$2:F18,F18)=1,1,0)</f>
        <v>1</v>
      </c>
      <c r="V18" s="13">
        <f t="shared" si="1"/>
        <v>42200</v>
      </c>
    </row>
    <row r="19" spans="1:22">
      <c r="A19" t="s">
        <v>122</v>
      </c>
      <c r="B19" t="s">
        <v>123</v>
      </c>
      <c r="C19" t="s">
        <v>124</v>
      </c>
      <c r="D19" t="s">
        <v>56</v>
      </c>
      <c r="E19" t="s">
        <v>57</v>
      </c>
      <c r="F19" t="s">
        <v>75</v>
      </c>
      <c r="G19" t="s">
        <v>95</v>
      </c>
      <c r="H19" t="s">
        <v>96</v>
      </c>
      <c r="I19" t="s">
        <v>69</v>
      </c>
      <c r="J19" t="s">
        <v>29</v>
      </c>
      <c r="K19" t="s">
        <v>31</v>
      </c>
      <c r="L19" s="4">
        <v>45702</v>
      </c>
      <c r="M19" s="4">
        <v>45726</v>
      </c>
      <c r="N19" s="4"/>
      <c r="O19" t="s">
        <v>52</v>
      </c>
      <c r="P19" s="5">
        <v>0.6</v>
      </c>
      <c r="Q19" s="6">
        <v>19400</v>
      </c>
      <c r="R19" s="6">
        <v>20255.080000000002</v>
      </c>
      <c r="S19">
        <v>1</v>
      </c>
      <c r="T19" t="str">
        <f t="shared" si="0"/>
        <v/>
      </c>
      <c r="U19">
        <f>IF(COUNTIFS($B$2:B19,B19,$F$2:F19,F19)=1,1,0)</f>
        <v>1</v>
      </c>
      <c r="V19" s="13">
        <f t="shared" si="1"/>
        <v>-855.08000000000175</v>
      </c>
    </row>
    <row r="20" spans="1:22">
      <c r="A20" t="s">
        <v>125</v>
      </c>
      <c r="B20" t="s">
        <v>126</v>
      </c>
      <c r="C20" t="s">
        <v>127</v>
      </c>
      <c r="D20" t="s">
        <v>64</v>
      </c>
      <c r="E20" t="s">
        <v>65</v>
      </c>
      <c r="F20" t="s">
        <v>26</v>
      </c>
      <c r="G20" t="s">
        <v>27</v>
      </c>
      <c r="H20" t="s">
        <v>28</v>
      </c>
      <c r="I20" t="s">
        <v>69</v>
      </c>
      <c r="J20" t="s">
        <v>29</v>
      </c>
      <c r="K20" t="s">
        <v>31</v>
      </c>
      <c r="L20" s="4">
        <v>45796</v>
      </c>
      <c r="M20" s="4">
        <v>45824</v>
      </c>
      <c r="N20" s="4">
        <v>45826</v>
      </c>
      <c r="O20" t="s">
        <v>32</v>
      </c>
      <c r="P20" s="5">
        <v>1</v>
      </c>
      <c r="Q20" s="6">
        <v>21000</v>
      </c>
      <c r="R20" s="6">
        <v>22920.48</v>
      </c>
      <c r="S20">
        <v>1</v>
      </c>
      <c r="T20">
        <f t="shared" si="0"/>
        <v>2</v>
      </c>
      <c r="U20">
        <f>IF(COUNTIFS($B$2:B20,B20,$F$2:F20,F20)=1,1,0)</f>
        <v>1</v>
      </c>
      <c r="V20" s="13">
        <f t="shared" si="1"/>
        <v>-1920.4799999999996</v>
      </c>
    </row>
    <row r="21" spans="1:22">
      <c r="A21" t="s">
        <v>128</v>
      </c>
      <c r="B21" t="s">
        <v>129</v>
      </c>
      <c r="C21" t="s">
        <v>130</v>
      </c>
      <c r="D21" t="s">
        <v>73</v>
      </c>
      <c r="E21" t="s">
        <v>74</v>
      </c>
      <c r="F21" t="s">
        <v>38</v>
      </c>
      <c r="G21" t="s">
        <v>39</v>
      </c>
      <c r="H21" t="s">
        <v>40</v>
      </c>
      <c r="I21" t="s">
        <v>29</v>
      </c>
      <c r="J21" t="s">
        <v>69</v>
      </c>
      <c r="K21" t="s">
        <v>31</v>
      </c>
      <c r="L21" s="4">
        <v>45914</v>
      </c>
      <c r="M21" s="4">
        <v>45920</v>
      </c>
      <c r="N21" s="4"/>
      <c r="O21" t="s">
        <v>42</v>
      </c>
      <c r="P21" s="5">
        <v>0</v>
      </c>
      <c r="Q21" s="6">
        <v>45000</v>
      </c>
      <c r="R21" s="6">
        <v>0</v>
      </c>
      <c r="S21">
        <v>5</v>
      </c>
      <c r="T21" t="str">
        <f t="shared" si="0"/>
        <v/>
      </c>
      <c r="U21">
        <f>IF(COUNTIFS($B$2:B21,B21,$F$2:F21,F21)=1,1,0)</f>
        <v>1</v>
      </c>
      <c r="V21" s="13">
        <f t="shared" si="1"/>
        <v>45000</v>
      </c>
    </row>
    <row r="22" spans="1:22">
      <c r="A22" t="s">
        <v>131</v>
      </c>
      <c r="B22" t="s">
        <v>132</v>
      </c>
      <c r="C22" t="s">
        <v>133</v>
      </c>
      <c r="D22" t="s">
        <v>82</v>
      </c>
      <c r="E22" t="s">
        <v>83</v>
      </c>
      <c r="F22" t="s">
        <v>48</v>
      </c>
      <c r="G22" t="s">
        <v>49</v>
      </c>
      <c r="H22" t="s">
        <v>50</v>
      </c>
      <c r="I22" t="s">
        <v>86</v>
      </c>
      <c r="J22" t="s">
        <v>29</v>
      </c>
      <c r="K22" t="s">
        <v>31</v>
      </c>
      <c r="L22" s="4">
        <v>45906</v>
      </c>
      <c r="M22" s="4">
        <v>45924</v>
      </c>
      <c r="N22" s="4"/>
      <c r="O22" t="s">
        <v>52</v>
      </c>
      <c r="P22" s="5">
        <v>0.6</v>
      </c>
      <c r="Q22" s="6">
        <v>40800</v>
      </c>
      <c r="R22" s="6">
        <v>31473.08</v>
      </c>
      <c r="S22">
        <v>2</v>
      </c>
      <c r="T22" t="str">
        <f t="shared" si="0"/>
        <v/>
      </c>
      <c r="U22">
        <f>IF(COUNTIFS($B$2:B22,B22,$F$2:F22,F22)=1,1,0)</f>
        <v>1</v>
      </c>
      <c r="V22" s="13">
        <f t="shared" si="1"/>
        <v>9326.9199999999983</v>
      </c>
    </row>
    <row r="23" spans="1:22">
      <c r="A23" t="s">
        <v>134</v>
      </c>
      <c r="B23" t="s">
        <v>135</v>
      </c>
      <c r="C23" t="s">
        <v>136</v>
      </c>
      <c r="D23" t="s">
        <v>24</v>
      </c>
      <c r="E23" t="s">
        <v>25</v>
      </c>
      <c r="F23" t="s">
        <v>58</v>
      </c>
      <c r="G23" t="s">
        <v>59</v>
      </c>
      <c r="H23" t="s">
        <v>60</v>
      </c>
      <c r="I23" t="s">
        <v>29</v>
      </c>
      <c r="J23" t="s">
        <v>69</v>
      </c>
      <c r="K23" t="s">
        <v>78</v>
      </c>
      <c r="L23" s="4">
        <v>45994</v>
      </c>
      <c r="M23" s="4">
        <v>46010</v>
      </c>
      <c r="N23" s="4">
        <v>46012</v>
      </c>
      <c r="O23" t="s">
        <v>32</v>
      </c>
      <c r="P23" s="5">
        <v>1</v>
      </c>
      <c r="Q23" s="6">
        <v>33300</v>
      </c>
      <c r="R23" s="6">
        <v>36753.47</v>
      </c>
      <c r="S23">
        <v>1</v>
      </c>
      <c r="T23">
        <f t="shared" si="0"/>
        <v>2</v>
      </c>
      <c r="U23">
        <f>IF(COUNTIFS($B$2:B23,B23,$F$2:F23,F23)=1,1,0)</f>
        <v>1</v>
      </c>
      <c r="V23" s="13">
        <f t="shared" si="1"/>
        <v>-3453.4700000000012</v>
      </c>
    </row>
    <row r="24" spans="1:22">
      <c r="A24" t="s">
        <v>137</v>
      </c>
      <c r="B24" t="s">
        <v>138</v>
      </c>
      <c r="C24" t="s">
        <v>139</v>
      </c>
      <c r="D24" t="s">
        <v>36</v>
      </c>
      <c r="E24" t="s">
        <v>37</v>
      </c>
      <c r="F24" t="s">
        <v>66</v>
      </c>
      <c r="G24" t="s">
        <v>67</v>
      </c>
      <c r="H24" t="s">
        <v>68</v>
      </c>
      <c r="I24" t="s">
        <v>29</v>
      </c>
      <c r="J24" t="s">
        <v>30</v>
      </c>
      <c r="K24" t="s">
        <v>31</v>
      </c>
      <c r="L24" s="4">
        <v>45985</v>
      </c>
      <c r="M24" s="4">
        <v>46006</v>
      </c>
      <c r="N24" s="4">
        <v>46014</v>
      </c>
      <c r="O24" t="s">
        <v>32</v>
      </c>
      <c r="P24" s="5">
        <v>1</v>
      </c>
      <c r="Q24" s="6">
        <v>3700</v>
      </c>
      <c r="R24" s="6">
        <v>3905.95</v>
      </c>
      <c r="S24">
        <v>0</v>
      </c>
      <c r="T24">
        <f t="shared" si="0"/>
        <v>8</v>
      </c>
      <c r="U24">
        <f>IF(COUNTIFS($B$2:B24,B24,$F$2:F24,F24)=1,1,0)</f>
        <v>1</v>
      </c>
      <c r="V24" s="13">
        <f t="shared" si="1"/>
        <v>-205.94999999999982</v>
      </c>
    </row>
    <row r="25" spans="1:22">
      <c r="A25" t="s">
        <v>140</v>
      </c>
      <c r="B25" t="s">
        <v>141</v>
      </c>
      <c r="C25" t="s">
        <v>142</v>
      </c>
      <c r="D25" t="s">
        <v>46</v>
      </c>
      <c r="E25" t="s">
        <v>47</v>
      </c>
      <c r="F25" t="s">
        <v>75</v>
      </c>
      <c r="G25" t="s">
        <v>76</v>
      </c>
      <c r="H25" t="s">
        <v>77</v>
      </c>
      <c r="I25" t="s">
        <v>29</v>
      </c>
      <c r="J25" t="s">
        <v>30</v>
      </c>
      <c r="K25" t="s">
        <v>143</v>
      </c>
      <c r="L25" s="4">
        <v>45723</v>
      </c>
      <c r="M25" s="4">
        <v>45728</v>
      </c>
      <c r="N25" s="4">
        <v>45732</v>
      </c>
      <c r="O25" t="s">
        <v>32</v>
      </c>
      <c r="P25" s="5">
        <v>1</v>
      </c>
      <c r="Q25" s="6">
        <v>30900</v>
      </c>
      <c r="R25" s="6">
        <v>31677.47</v>
      </c>
      <c r="S25">
        <v>2</v>
      </c>
      <c r="T25">
        <f t="shared" si="0"/>
        <v>4</v>
      </c>
      <c r="U25">
        <f>IF(COUNTIFS($B$2:B25,B25,$F$2:F25,F25)=1,1,0)</f>
        <v>1</v>
      </c>
      <c r="V25" s="13">
        <f t="shared" si="1"/>
        <v>-777.47000000000116</v>
      </c>
    </row>
    <row r="26" spans="1:22">
      <c r="A26" t="s">
        <v>144</v>
      </c>
      <c r="B26" t="s">
        <v>145</v>
      </c>
      <c r="C26" t="s">
        <v>146</v>
      </c>
      <c r="D26" t="s">
        <v>56</v>
      </c>
      <c r="E26" t="s">
        <v>57</v>
      </c>
      <c r="F26" t="s">
        <v>26</v>
      </c>
      <c r="G26" t="s">
        <v>84</v>
      </c>
      <c r="H26" t="s">
        <v>85</v>
      </c>
      <c r="I26" t="s">
        <v>69</v>
      </c>
      <c r="J26" t="s">
        <v>30</v>
      </c>
      <c r="K26" t="s">
        <v>51</v>
      </c>
      <c r="L26" s="4">
        <v>45970</v>
      </c>
      <c r="M26" s="4">
        <v>45986</v>
      </c>
      <c r="N26" s="4">
        <v>45982</v>
      </c>
      <c r="O26" t="s">
        <v>32</v>
      </c>
      <c r="P26" s="5">
        <v>1</v>
      </c>
      <c r="Q26" s="6">
        <v>12800</v>
      </c>
      <c r="R26" s="6">
        <v>12566.69</v>
      </c>
      <c r="S26">
        <v>1</v>
      </c>
      <c r="T26">
        <f t="shared" si="0"/>
        <v>0</v>
      </c>
      <c r="U26">
        <f>IF(COUNTIFS($B$2:B26,B26,$F$2:F26,F26)=1,1,0)</f>
        <v>1</v>
      </c>
      <c r="V26" s="13">
        <f t="shared" si="1"/>
        <v>233.30999999999949</v>
      </c>
    </row>
    <row r="27" spans="1:22">
      <c r="A27" t="s">
        <v>147</v>
      </c>
      <c r="B27" t="s">
        <v>148</v>
      </c>
      <c r="C27" t="s">
        <v>149</v>
      </c>
      <c r="D27" t="s">
        <v>64</v>
      </c>
      <c r="E27" t="s">
        <v>65</v>
      </c>
      <c r="F27" t="s">
        <v>38</v>
      </c>
      <c r="G27" t="s">
        <v>90</v>
      </c>
      <c r="H27" t="s">
        <v>91</v>
      </c>
      <c r="I27" t="s">
        <v>29</v>
      </c>
      <c r="J27" t="s">
        <v>30</v>
      </c>
      <c r="K27" t="s">
        <v>51</v>
      </c>
      <c r="L27" s="4">
        <v>45881</v>
      </c>
      <c r="M27" s="4">
        <v>45894</v>
      </c>
      <c r="N27" s="4">
        <v>45891</v>
      </c>
      <c r="O27" t="s">
        <v>32</v>
      </c>
      <c r="P27" s="5">
        <v>1</v>
      </c>
      <c r="Q27" s="6">
        <v>42200</v>
      </c>
      <c r="R27" s="6">
        <v>49500.61</v>
      </c>
      <c r="S27">
        <v>1</v>
      </c>
      <c r="T27">
        <f t="shared" si="0"/>
        <v>0</v>
      </c>
      <c r="U27">
        <f>IF(COUNTIFS($B$2:B27,B27,$F$2:F27,F27)=1,1,0)</f>
        <v>1</v>
      </c>
      <c r="V27" s="13">
        <f t="shared" si="1"/>
        <v>-7300.6100000000006</v>
      </c>
    </row>
    <row r="28" spans="1:22">
      <c r="A28" t="s">
        <v>150</v>
      </c>
      <c r="B28" t="s">
        <v>151</v>
      </c>
      <c r="C28" t="s">
        <v>152</v>
      </c>
      <c r="D28" t="s">
        <v>73</v>
      </c>
      <c r="E28" t="s">
        <v>74</v>
      </c>
      <c r="F28" t="s">
        <v>48</v>
      </c>
      <c r="G28" t="s">
        <v>95</v>
      </c>
      <c r="H28" t="s">
        <v>96</v>
      </c>
      <c r="I28" t="s">
        <v>29</v>
      </c>
      <c r="J28" t="s">
        <v>30</v>
      </c>
      <c r="K28" t="s">
        <v>143</v>
      </c>
      <c r="L28" s="4">
        <v>46158</v>
      </c>
      <c r="M28" s="4">
        <v>46169</v>
      </c>
      <c r="N28" s="4"/>
      <c r="O28" t="s">
        <v>42</v>
      </c>
      <c r="P28" s="5">
        <v>0</v>
      </c>
      <c r="Q28" s="6">
        <v>16700</v>
      </c>
      <c r="R28" s="6">
        <v>0</v>
      </c>
      <c r="S28">
        <v>2</v>
      </c>
      <c r="T28" t="str">
        <f t="shared" si="0"/>
        <v/>
      </c>
      <c r="U28">
        <f>IF(COUNTIFS($B$2:B28,B28,$F$2:F28,F28)=1,1,0)</f>
        <v>1</v>
      </c>
      <c r="V28" s="13">
        <f t="shared" si="1"/>
        <v>16700</v>
      </c>
    </row>
    <row r="29" spans="1:22">
      <c r="A29" t="s">
        <v>153</v>
      </c>
      <c r="B29" t="s">
        <v>154</v>
      </c>
      <c r="C29" t="s">
        <v>155</v>
      </c>
      <c r="D29" t="s">
        <v>82</v>
      </c>
      <c r="E29" t="s">
        <v>83</v>
      </c>
      <c r="F29" t="s">
        <v>58</v>
      </c>
      <c r="G29" t="s">
        <v>27</v>
      </c>
      <c r="H29" t="s">
        <v>28</v>
      </c>
      <c r="I29" t="s">
        <v>29</v>
      </c>
      <c r="J29" t="s">
        <v>30</v>
      </c>
      <c r="K29" t="s">
        <v>143</v>
      </c>
      <c r="L29" s="4">
        <v>46072</v>
      </c>
      <c r="M29" s="4">
        <v>46094</v>
      </c>
      <c r="N29" s="4"/>
      <c r="O29" t="s">
        <v>109</v>
      </c>
      <c r="P29" s="5">
        <v>0.65</v>
      </c>
      <c r="Q29" s="6">
        <v>1800</v>
      </c>
      <c r="R29" s="6">
        <v>1904.35</v>
      </c>
      <c r="S29">
        <v>0</v>
      </c>
      <c r="T29" t="str">
        <f t="shared" si="0"/>
        <v/>
      </c>
      <c r="U29">
        <f>IF(COUNTIFS($B$2:B29,B29,$F$2:F29,F29)=1,1,0)</f>
        <v>1</v>
      </c>
      <c r="V29" s="13">
        <f t="shared" si="1"/>
        <v>-104.34999999999991</v>
      </c>
    </row>
    <row r="30" spans="1:22">
      <c r="A30" t="s">
        <v>156</v>
      </c>
      <c r="B30" t="s">
        <v>157</v>
      </c>
      <c r="C30" t="s">
        <v>158</v>
      </c>
      <c r="D30" t="s">
        <v>24</v>
      </c>
      <c r="E30" t="s">
        <v>25</v>
      </c>
      <c r="F30" t="s">
        <v>66</v>
      </c>
      <c r="G30" t="s">
        <v>39</v>
      </c>
      <c r="H30" t="s">
        <v>40</v>
      </c>
      <c r="I30" t="s">
        <v>69</v>
      </c>
      <c r="J30" t="s">
        <v>69</v>
      </c>
      <c r="K30" t="s">
        <v>31</v>
      </c>
      <c r="L30" s="4">
        <v>46051</v>
      </c>
      <c r="M30" s="4">
        <v>46057</v>
      </c>
      <c r="N30" s="4">
        <v>46062</v>
      </c>
      <c r="O30" t="s">
        <v>32</v>
      </c>
      <c r="P30" s="5">
        <v>1</v>
      </c>
      <c r="Q30" s="6">
        <v>10700</v>
      </c>
      <c r="R30" s="6">
        <v>12242.5</v>
      </c>
      <c r="S30">
        <v>2</v>
      </c>
      <c r="T30">
        <f t="shared" si="0"/>
        <v>5</v>
      </c>
      <c r="U30">
        <f>IF(COUNTIFS($B$2:B30,B30,$F$2:F30,F30)=1,1,0)</f>
        <v>1</v>
      </c>
      <c r="V30" s="13">
        <f t="shared" si="1"/>
        <v>-1542.5</v>
      </c>
    </row>
    <row r="31" spans="1:22">
      <c r="A31" t="s">
        <v>159</v>
      </c>
      <c r="B31" t="s">
        <v>160</v>
      </c>
      <c r="C31" t="s">
        <v>161</v>
      </c>
      <c r="D31" t="s">
        <v>36</v>
      </c>
      <c r="E31" t="s">
        <v>37</v>
      </c>
      <c r="F31" t="s">
        <v>75</v>
      </c>
      <c r="G31" t="s">
        <v>59</v>
      </c>
      <c r="H31" t="s">
        <v>60</v>
      </c>
      <c r="I31" t="s">
        <v>69</v>
      </c>
      <c r="J31" t="s">
        <v>30</v>
      </c>
      <c r="K31" t="s">
        <v>31</v>
      </c>
      <c r="L31" s="4">
        <v>45955</v>
      </c>
      <c r="M31" s="4">
        <v>45960</v>
      </c>
      <c r="N31" s="4">
        <v>45971</v>
      </c>
      <c r="O31" t="s">
        <v>32</v>
      </c>
      <c r="P31" s="5">
        <v>1</v>
      </c>
      <c r="Q31" s="6">
        <v>37600</v>
      </c>
      <c r="R31" s="6">
        <v>41936.03</v>
      </c>
      <c r="S31">
        <v>2</v>
      </c>
      <c r="T31">
        <f t="shared" si="0"/>
        <v>11</v>
      </c>
      <c r="U31">
        <f>IF(COUNTIFS($B$2:B31,B31,$F$2:F31,F31)=1,1,0)</f>
        <v>1</v>
      </c>
      <c r="V31" s="13">
        <f t="shared" si="1"/>
        <v>-4336.0299999999988</v>
      </c>
    </row>
    <row r="32" spans="1:22">
      <c r="A32" t="s">
        <v>162</v>
      </c>
      <c r="B32" t="s">
        <v>22</v>
      </c>
      <c r="C32" t="s">
        <v>23</v>
      </c>
      <c r="D32" t="s">
        <v>24</v>
      </c>
      <c r="E32" t="s">
        <v>25</v>
      </c>
      <c r="F32" t="s">
        <v>26</v>
      </c>
      <c r="G32" t="s">
        <v>67</v>
      </c>
      <c r="H32" t="s">
        <v>163</v>
      </c>
      <c r="I32" t="s">
        <v>29</v>
      </c>
      <c r="J32" t="s">
        <v>69</v>
      </c>
      <c r="K32" t="s">
        <v>31</v>
      </c>
      <c r="L32" s="4">
        <v>46103</v>
      </c>
      <c r="M32" s="4">
        <v>46123</v>
      </c>
      <c r="N32" s="4">
        <v>46122</v>
      </c>
      <c r="O32" t="s">
        <v>32</v>
      </c>
      <c r="P32" s="5">
        <v>1</v>
      </c>
      <c r="Q32" s="6">
        <v>42600</v>
      </c>
      <c r="R32" s="6">
        <v>44729.63</v>
      </c>
      <c r="S32">
        <v>3</v>
      </c>
      <c r="T32">
        <f t="shared" si="0"/>
        <v>0</v>
      </c>
      <c r="U32">
        <f>IF(COUNTIFS($B$2:B32,B32,$F$2:F32,F32)=1,1,0)</f>
        <v>0</v>
      </c>
      <c r="V32" s="13">
        <f t="shared" si="1"/>
        <v>-2129.6299999999974</v>
      </c>
    </row>
    <row r="33" spans="1:22">
      <c r="A33" t="s">
        <v>164</v>
      </c>
      <c r="B33" t="s">
        <v>34</v>
      </c>
      <c r="C33" t="s">
        <v>35</v>
      </c>
      <c r="D33" t="s">
        <v>36</v>
      </c>
      <c r="E33" t="s">
        <v>37</v>
      </c>
      <c r="F33" t="s">
        <v>38</v>
      </c>
      <c r="G33" t="s">
        <v>76</v>
      </c>
      <c r="H33" t="s">
        <v>165</v>
      </c>
      <c r="I33" t="s">
        <v>30</v>
      </c>
      <c r="J33" t="s">
        <v>30</v>
      </c>
      <c r="K33" t="s">
        <v>143</v>
      </c>
      <c r="L33" s="4">
        <v>45830</v>
      </c>
      <c r="M33" s="4">
        <v>45837</v>
      </c>
      <c r="N33" s="4"/>
      <c r="O33" t="s">
        <v>32</v>
      </c>
      <c r="P33" s="5">
        <v>0</v>
      </c>
      <c r="Q33" s="6">
        <v>17400</v>
      </c>
      <c r="R33" s="6">
        <v>0</v>
      </c>
      <c r="S33">
        <v>4</v>
      </c>
      <c r="T33" t="str">
        <f t="shared" si="0"/>
        <v/>
      </c>
      <c r="U33">
        <f>IF(COUNTIFS($B$2:B33,B33,$F$2:F33,F33)=1,1,0)</f>
        <v>0</v>
      </c>
      <c r="V33" s="13">
        <f t="shared" si="1"/>
        <v>17400</v>
      </c>
    </row>
    <row r="34" spans="1:22">
      <c r="A34" t="s">
        <v>166</v>
      </c>
      <c r="B34" t="s">
        <v>44</v>
      </c>
      <c r="C34" t="s">
        <v>45</v>
      </c>
      <c r="D34" t="s">
        <v>46</v>
      </c>
      <c r="E34" t="s">
        <v>47</v>
      </c>
      <c r="F34" t="s">
        <v>48</v>
      </c>
      <c r="G34" t="s">
        <v>84</v>
      </c>
      <c r="H34" t="s">
        <v>167</v>
      </c>
      <c r="I34" t="s">
        <v>30</v>
      </c>
      <c r="J34" t="s">
        <v>30</v>
      </c>
      <c r="K34" t="s">
        <v>78</v>
      </c>
      <c r="L34" s="4">
        <v>45701</v>
      </c>
      <c r="M34" s="4">
        <v>45715</v>
      </c>
      <c r="N34" s="4">
        <v>45709</v>
      </c>
      <c r="O34" t="s">
        <v>32</v>
      </c>
      <c r="P34" s="5">
        <v>1</v>
      </c>
      <c r="Q34" s="6">
        <v>40000</v>
      </c>
      <c r="R34" s="6">
        <v>35703.39</v>
      </c>
      <c r="S34">
        <v>2</v>
      </c>
      <c r="T34">
        <f t="shared" si="0"/>
        <v>0</v>
      </c>
      <c r="U34">
        <f>IF(COUNTIFS($B$2:B34,B34,$F$2:F34,F34)=1,1,0)</f>
        <v>0</v>
      </c>
      <c r="V34" s="13">
        <f t="shared" si="1"/>
        <v>4296.6100000000006</v>
      </c>
    </row>
    <row r="35" spans="1:22">
      <c r="A35" t="s">
        <v>168</v>
      </c>
      <c r="B35" t="s">
        <v>54</v>
      </c>
      <c r="C35" t="s">
        <v>55</v>
      </c>
      <c r="D35" t="s">
        <v>56</v>
      </c>
      <c r="E35" t="s">
        <v>57</v>
      </c>
      <c r="F35" t="s">
        <v>58</v>
      </c>
      <c r="G35" t="s">
        <v>90</v>
      </c>
      <c r="H35" t="s">
        <v>169</v>
      </c>
      <c r="I35" t="s">
        <v>29</v>
      </c>
      <c r="J35" t="s">
        <v>69</v>
      </c>
      <c r="K35" t="s">
        <v>41</v>
      </c>
      <c r="L35" s="4">
        <v>46087</v>
      </c>
      <c r="M35" s="4">
        <v>46103</v>
      </c>
      <c r="N35" s="4"/>
      <c r="O35" t="s">
        <v>32</v>
      </c>
      <c r="P35" s="5">
        <v>0</v>
      </c>
      <c r="Q35" s="6">
        <v>33500</v>
      </c>
      <c r="R35" s="6">
        <v>0</v>
      </c>
      <c r="S35">
        <v>6</v>
      </c>
      <c r="T35" t="str">
        <f t="shared" si="0"/>
        <v/>
      </c>
      <c r="U35">
        <f>IF(COUNTIFS($B$2:B35,B35,$F$2:F35,F35)=1,1,0)</f>
        <v>0</v>
      </c>
      <c r="V35" s="13">
        <f t="shared" si="1"/>
        <v>33500</v>
      </c>
    </row>
    <row r="36" spans="1:22">
      <c r="A36" t="s">
        <v>170</v>
      </c>
      <c r="B36" t="s">
        <v>62</v>
      </c>
      <c r="C36" t="s">
        <v>63</v>
      </c>
      <c r="D36" t="s">
        <v>64</v>
      </c>
      <c r="E36" t="s">
        <v>65</v>
      </c>
      <c r="F36" t="s">
        <v>66</v>
      </c>
      <c r="G36" t="s">
        <v>95</v>
      </c>
      <c r="H36" t="s">
        <v>171</v>
      </c>
      <c r="I36" t="s">
        <v>69</v>
      </c>
      <c r="J36" t="s">
        <v>69</v>
      </c>
      <c r="K36" t="s">
        <v>41</v>
      </c>
      <c r="L36" s="4">
        <v>45871</v>
      </c>
      <c r="M36" s="4">
        <v>45879</v>
      </c>
      <c r="N36" s="4">
        <v>45892</v>
      </c>
      <c r="O36" t="s">
        <v>32</v>
      </c>
      <c r="P36" s="5">
        <v>1</v>
      </c>
      <c r="Q36" s="6">
        <v>38800</v>
      </c>
      <c r="R36" s="6">
        <v>46953.87</v>
      </c>
      <c r="S36">
        <v>3</v>
      </c>
      <c r="T36">
        <f t="shared" si="0"/>
        <v>13</v>
      </c>
      <c r="U36">
        <f>IF(COUNTIFS($B$2:B36,B36,$F$2:F36,F36)=1,1,0)</f>
        <v>0</v>
      </c>
      <c r="V36" s="13">
        <f t="shared" si="1"/>
        <v>-8153.8700000000026</v>
      </c>
    </row>
    <row r="37" spans="1:22">
      <c r="A37" t="s">
        <v>172</v>
      </c>
      <c r="B37" t="s">
        <v>71</v>
      </c>
      <c r="C37" t="s">
        <v>72</v>
      </c>
      <c r="D37" t="s">
        <v>73</v>
      </c>
      <c r="E37" t="s">
        <v>74</v>
      </c>
      <c r="F37" t="s">
        <v>75</v>
      </c>
      <c r="G37" t="s">
        <v>27</v>
      </c>
      <c r="H37" t="s">
        <v>173</v>
      </c>
      <c r="I37" t="s">
        <v>29</v>
      </c>
      <c r="J37" t="s">
        <v>30</v>
      </c>
      <c r="K37" t="s">
        <v>41</v>
      </c>
      <c r="L37" s="4">
        <v>45846</v>
      </c>
      <c r="M37" s="4">
        <v>45856</v>
      </c>
      <c r="N37" s="4"/>
      <c r="O37" t="s">
        <v>32</v>
      </c>
      <c r="P37" s="5">
        <v>0</v>
      </c>
      <c r="Q37" s="6">
        <v>9900</v>
      </c>
      <c r="R37" s="6">
        <v>0</v>
      </c>
      <c r="S37">
        <v>0</v>
      </c>
      <c r="T37" t="str">
        <f t="shared" si="0"/>
        <v/>
      </c>
      <c r="U37">
        <f>IF(COUNTIFS($B$2:B37,B37,$F$2:F37,F37)=1,1,0)</f>
        <v>0</v>
      </c>
      <c r="V37" s="13">
        <f t="shared" si="1"/>
        <v>9900</v>
      </c>
    </row>
    <row r="38" spans="1:22">
      <c r="A38" t="s">
        <v>174</v>
      </c>
      <c r="B38" t="s">
        <v>80</v>
      </c>
      <c r="C38" t="s">
        <v>81</v>
      </c>
      <c r="D38" t="s">
        <v>82</v>
      </c>
      <c r="E38" t="s">
        <v>83</v>
      </c>
      <c r="F38" t="s">
        <v>26</v>
      </c>
      <c r="G38" t="s">
        <v>39</v>
      </c>
      <c r="H38" t="s">
        <v>175</v>
      </c>
      <c r="I38" t="s">
        <v>86</v>
      </c>
      <c r="J38" t="s">
        <v>30</v>
      </c>
      <c r="K38" t="s">
        <v>51</v>
      </c>
      <c r="L38" s="4">
        <v>45879</v>
      </c>
      <c r="M38" s="4">
        <v>45903</v>
      </c>
      <c r="N38" s="4"/>
      <c r="O38" t="s">
        <v>32</v>
      </c>
      <c r="P38" s="5">
        <v>0.65</v>
      </c>
      <c r="Q38" s="6">
        <v>15900</v>
      </c>
      <c r="R38" s="6">
        <v>19299.77</v>
      </c>
      <c r="S38">
        <v>4</v>
      </c>
      <c r="T38" t="str">
        <f t="shared" si="0"/>
        <v/>
      </c>
      <c r="U38">
        <f>IF(COUNTIFS($B$2:B38,B38,$F$2:F38,F38)=1,1,0)</f>
        <v>0</v>
      </c>
      <c r="V38" s="13">
        <f t="shared" si="1"/>
        <v>-3399.7700000000004</v>
      </c>
    </row>
    <row r="39" spans="1:22">
      <c r="A39" t="s">
        <v>176</v>
      </c>
      <c r="B39" t="s">
        <v>88</v>
      </c>
      <c r="C39" t="s">
        <v>89</v>
      </c>
      <c r="D39" t="s">
        <v>24</v>
      </c>
      <c r="E39" t="s">
        <v>25</v>
      </c>
      <c r="F39" t="s">
        <v>38</v>
      </c>
      <c r="G39" t="s">
        <v>49</v>
      </c>
      <c r="H39" t="s">
        <v>177</v>
      </c>
      <c r="I39" t="s">
        <v>29</v>
      </c>
      <c r="J39" t="s">
        <v>29</v>
      </c>
      <c r="K39" t="s">
        <v>178</v>
      </c>
      <c r="L39" s="4">
        <v>45743</v>
      </c>
      <c r="M39" s="4">
        <v>45749</v>
      </c>
      <c r="N39" s="4">
        <v>45753</v>
      </c>
      <c r="O39" t="s">
        <v>32</v>
      </c>
      <c r="P39" s="5">
        <v>1</v>
      </c>
      <c r="Q39" s="6">
        <v>16500</v>
      </c>
      <c r="R39" s="6">
        <v>17271</v>
      </c>
      <c r="S39">
        <v>0</v>
      </c>
      <c r="T39">
        <f t="shared" si="0"/>
        <v>4</v>
      </c>
      <c r="U39">
        <f>IF(COUNTIFS($B$2:B39,B39,$F$2:F39,F39)=1,1,0)</f>
        <v>0</v>
      </c>
      <c r="V39" s="13">
        <f t="shared" si="1"/>
        <v>-771</v>
      </c>
    </row>
    <row r="40" spans="1:22">
      <c r="A40" t="s">
        <v>179</v>
      </c>
      <c r="B40" t="s">
        <v>93</v>
      </c>
      <c r="C40" t="s">
        <v>94</v>
      </c>
      <c r="D40" t="s">
        <v>36</v>
      </c>
      <c r="E40" t="s">
        <v>37</v>
      </c>
      <c r="F40" t="s">
        <v>48</v>
      </c>
      <c r="G40" t="s">
        <v>59</v>
      </c>
      <c r="H40" t="s">
        <v>180</v>
      </c>
      <c r="I40" t="s">
        <v>86</v>
      </c>
      <c r="J40" t="s">
        <v>30</v>
      </c>
      <c r="K40" t="s">
        <v>178</v>
      </c>
      <c r="L40" s="4">
        <v>46088</v>
      </c>
      <c r="M40" s="4">
        <v>46099</v>
      </c>
      <c r="N40" s="4"/>
      <c r="O40" t="s">
        <v>42</v>
      </c>
      <c r="P40" s="5">
        <v>0</v>
      </c>
      <c r="Q40" s="6">
        <v>20500</v>
      </c>
      <c r="R40" s="6">
        <v>0</v>
      </c>
      <c r="S40">
        <v>1</v>
      </c>
      <c r="T40" t="str">
        <f t="shared" si="0"/>
        <v/>
      </c>
      <c r="U40">
        <f>IF(COUNTIFS($B$2:B40,B40,$F$2:F40,F40)=1,1,0)</f>
        <v>0</v>
      </c>
      <c r="V40" s="13">
        <f t="shared" si="1"/>
        <v>20500</v>
      </c>
    </row>
    <row r="41" spans="1:22">
      <c r="A41" t="s">
        <v>181</v>
      </c>
      <c r="B41" t="s">
        <v>98</v>
      </c>
      <c r="C41" t="s">
        <v>99</v>
      </c>
      <c r="D41" t="s">
        <v>46</v>
      </c>
      <c r="E41" t="s">
        <v>47</v>
      </c>
      <c r="F41" t="s">
        <v>58</v>
      </c>
      <c r="G41" t="s">
        <v>67</v>
      </c>
      <c r="H41" t="s">
        <v>163</v>
      </c>
      <c r="I41" t="s">
        <v>69</v>
      </c>
      <c r="J41" t="s">
        <v>69</v>
      </c>
      <c r="K41" t="s">
        <v>78</v>
      </c>
      <c r="L41" s="4">
        <v>45765</v>
      </c>
      <c r="M41" s="4">
        <v>45779</v>
      </c>
      <c r="N41" s="4"/>
      <c r="O41" t="s">
        <v>52</v>
      </c>
      <c r="P41" s="5">
        <v>0.85</v>
      </c>
      <c r="Q41" s="6">
        <v>41600</v>
      </c>
      <c r="R41" s="6">
        <v>39682.080000000002</v>
      </c>
      <c r="S41">
        <v>2</v>
      </c>
      <c r="T41" t="str">
        <f t="shared" si="0"/>
        <v/>
      </c>
      <c r="U41">
        <f>IF(COUNTIFS($B$2:B41,B41,$F$2:F41,F41)=1,1,0)</f>
        <v>0</v>
      </c>
      <c r="V41" s="13">
        <f t="shared" si="1"/>
        <v>1917.9199999999983</v>
      </c>
    </row>
    <row r="42" spans="1:22">
      <c r="A42" t="s">
        <v>182</v>
      </c>
      <c r="B42" t="s">
        <v>101</v>
      </c>
      <c r="C42" t="s">
        <v>102</v>
      </c>
      <c r="D42" t="s">
        <v>56</v>
      </c>
      <c r="E42" t="s">
        <v>57</v>
      </c>
      <c r="F42" t="s">
        <v>66</v>
      </c>
      <c r="G42" t="s">
        <v>76</v>
      </c>
      <c r="H42" t="s">
        <v>165</v>
      </c>
      <c r="I42" t="s">
        <v>29</v>
      </c>
      <c r="J42" t="s">
        <v>69</v>
      </c>
      <c r="K42" t="s">
        <v>143</v>
      </c>
      <c r="L42" s="4">
        <v>46113</v>
      </c>
      <c r="M42" s="4">
        <v>46126</v>
      </c>
      <c r="N42" s="4"/>
      <c r="O42" t="s">
        <v>52</v>
      </c>
      <c r="P42" s="5">
        <v>0.5</v>
      </c>
      <c r="Q42" s="6">
        <v>25600</v>
      </c>
      <c r="R42" s="6">
        <v>28880.11</v>
      </c>
      <c r="S42">
        <v>5</v>
      </c>
      <c r="T42" t="str">
        <f t="shared" si="0"/>
        <v/>
      </c>
      <c r="U42">
        <f>IF(COUNTIFS($B$2:B42,B42,$F$2:F42,F42)=1,1,0)</f>
        <v>0</v>
      </c>
      <c r="V42" s="13">
        <f t="shared" si="1"/>
        <v>-3280.1100000000006</v>
      </c>
    </row>
    <row r="43" spans="1:22">
      <c r="A43" t="s">
        <v>183</v>
      </c>
      <c r="B43" t="s">
        <v>104</v>
      </c>
      <c r="C43" t="s">
        <v>105</v>
      </c>
      <c r="D43" t="s">
        <v>64</v>
      </c>
      <c r="E43" t="s">
        <v>65</v>
      </c>
      <c r="F43" t="s">
        <v>75</v>
      </c>
      <c r="G43" t="s">
        <v>84</v>
      </c>
      <c r="H43" t="s">
        <v>167</v>
      </c>
      <c r="I43" t="s">
        <v>29</v>
      </c>
      <c r="J43" t="s">
        <v>29</v>
      </c>
      <c r="K43" t="s">
        <v>31</v>
      </c>
      <c r="L43" s="4">
        <v>46187</v>
      </c>
      <c r="M43" s="4">
        <v>46199</v>
      </c>
      <c r="N43" s="4"/>
      <c r="O43" t="s">
        <v>52</v>
      </c>
      <c r="P43" s="5">
        <v>0.9</v>
      </c>
      <c r="Q43" s="6">
        <v>1500</v>
      </c>
      <c r="R43" s="6">
        <v>1489.79</v>
      </c>
      <c r="S43">
        <v>3</v>
      </c>
      <c r="T43" t="str">
        <f t="shared" si="0"/>
        <v/>
      </c>
      <c r="U43">
        <f>IF(COUNTIFS($B$2:B43,B43,$F$2:F43,F43)=1,1,0)</f>
        <v>0</v>
      </c>
      <c r="V43" s="13">
        <f t="shared" si="1"/>
        <v>10.210000000000036</v>
      </c>
    </row>
    <row r="44" spans="1:22">
      <c r="A44" t="s">
        <v>184</v>
      </c>
      <c r="B44" t="s">
        <v>107</v>
      </c>
      <c r="C44" t="s">
        <v>108</v>
      </c>
      <c r="D44" t="s">
        <v>73</v>
      </c>
      <c r="E44" t="s">
        <v>74</v>
      </c>
      <c r="F44" t="s">
        <v>26</v>
      </c>
      <c r="G44" t="s">
        <v>90</v>
      </c>
      <c r="H44" t="s">
        <v>169</v>
      </c>
      <c r="I44" t="s">
        <v>69</v>
      </c>
      <c r="J44" t="s">
        <v>29</v>
      </c>
      <c r="K44" t="s">
        <v>143</v>
      </c>
      <c r="L44" s="4">
        <v>46055</v>
      </c>
      <c r="M44" s="4">
        <v>46079</v>
      </c>
      <c r="N44" s="4"/>
      <c r="O44" t="s">
        <v>52</v>
      </c>
      <c r="P44" s="5">
        <v>0.6</v>
      </c>
      <c r="Q44" s="6">
        <v>36000</v>
      </c>
      <c r="R44" s="6">
        <v>42977.86</v>
      </c>
      <c r="S44">
        <v>1</v>
      </c>
      <c r="T44" t="str">
        <f t="shared" si="0"/>
        <v/>
      </c>
      <c r="U44">
        <f>IF(COUNTIFS($B$2:B44,B44,$F$2:F44,F44)=1,1,0)</f>
        <v>0</v>
      </c>
      <c r="V44" s="13">
        <f t="shared" si="1"/>
        <v>-6977.8600000000006</v>
      </c>
    </row>
    <row r="45" spans="1:22">
      <c r="A45" t="s">
        <v>185</v>
      </c>
      <c r="B45" t="s">
        <v>111</v>
      </c>
      <c r="C45" t="s">
        <v>112</v>
      </c>
      <c r="D45" t="s">
        <v>82</v>
      </c>
      <c r="E45" t="s">
        <v>83</v>
      </c>
      <c r="F45" t="s">
        <v>38</v>
      </c>
      <c r="G45" t="s">
        <v>95</v>
      </c>
      <c r="H45" t="s">
        <v>171</v>
      </c>
      <c r="I45" t="s">
        <v>69</v>
      </c>
      <c r="J45" t="s">
        <v>30</v>
      </c>
      <c r="K45" t="s">
        <v>51</v>
      </c>
      <c r="L45" s="4">
        <v>45792</v>
      </c>
      <c r="M45" s="4">
        <v>45797</v>
      </c>
      <c r="N45" s="4">
        <v>45799</v>
      </c>
      <c r="O45" t="s">
        <v>32</v>
      </c>
      <c r="P45" s="5">
        <v>1</v>
      </c>
      <c r="Q45" s="6">
        <v>11300</v>
      </c>
      <c r="R45" s="6">
        <v>9668.0499999999993</v>
      </c>
      <c r="S45">
        <v>1</v>
      </c>
      <c r="T45">
        <f t="shared" si="0"/>
        <v>2</v>
      </c>
      <c r="U45">
        <f>IF(COUNTIFS($B$2:B45,B45,$F$2:F45,F45)=1,1,0)</f>
        <v>0</v>
      </c>
      <c r="V45" s="13">
        <f t="shared" si="1"/>
        <v>1631.9500000000007</v>
      </c>
    </row>
    <row r="46" spans="1:22">
      <c r="A46" t="s">
        <v>186</v>
      </c>
      <c r="B46" t="s">
        <v>114</v>
      </c>
      <c r="C46" t="s">
        <v>115</v>
      </c>
      <c r="D46" t="s">
        <v>24</v>
      </c>
      <c r="E46" t="s">
        <v>25</v>
      </c>
      <c r="F46" t="s">
        <v>48</v>
      </c>
      <c r="G46" t="s">
        <v>27</v>
      </c>
      <c r="H46" t="s">
        <v>173</v>
      </c>
      <c r="I46" t="s">
        <v>29</v>
      </c>
      <c r="J46" t="s">
        <v>30</v>
      </c>
      <c r="K46" t="s">
        <v>41</v>
      </c>
      <c r="L46" s="4">
        <v>45983</v>
      </c>
      <c r="M46" s="4">
        <v>46000</v>
      </c>
      <c r="N46" s="4"/>
      <c r="O46" t="s">
        <v>52</v>
      </c>
      <c r="P46" s="5">
        <v>0.85</v>
      </c>
      <c r="Q46" s="6">
        <v>26500</v>
      </c>
      <c r="R46" s="6">
        <v>27645.43</v>
      </c>
      <c r="S46">
        <v>1</v>
      </c>
      <c r="T46" t="str">
        <f t="shared" si="0"/>
        <v/>
      </c>
      <c r="U46">
        <f>IF(COUNTIFS($B$2:B46,B46,$F$2:F46,F46)=1,1,0)</f>
        <v>0</v>
      </c>
      <c r="V46" s="13">
        <f t="shared" si="1"/>
        <v>-1145.4300000000003</v>
      </c>
    </row>
    <row r="47" spans="1:22">
      <c r="A47" t="s">
        <v>187</v>
      </c>
      <c r="B47" t="s">
        <v>117</v>
      </c>
      <c r="C47" t="s">
        <v>118</v>
      </c>
      <c r="D47" t="s">
        <v>36</v>
      </c>
      <c r="E47" t="s">
        <v>37</v>
      </c>
      <c r="F47" t="s">
        <v>58</v>
      </c>
      <c r="G47" t="s">
        <v>39</v>
      </c>
      <c r="H47" t="s">
        <v>175</v>
      </c>
      <c r="I47" t="s">
        <v>29</v>
      </c>
      <c r="J47" t="s">
        <v>30</v>
      </c>
      <c r="K47" t="s">
        <v>78</v>
      </c>
      <c r="L47" s="4">
        <v>45906</v>
      </c>
      <c r="M47" s="4">
        <v>45933</v>
      </c>
      <c r="N47" s="4"/>
      <c r="O47" t="s">
        <v>52</v>
      </c>
      <c r="P47" s="5">
        <v>0.4</v>
      </c>
      <c r="Q47" s="6">
        <v>36500</v>
      </c>
      <c r="R47" s="6">
        <v>33355.74</v>
      </c>
      <c r="S47">
        <v>1</v>
      </c>
      <c r="T47" t="str">
        <f t="shared" si="0"/>
        <v/>
      </c>
      <c r="U47">
        <f>IF(COUNTIFS($B$2:B47,B47,$F$2:F47,F47)=1,1,0)</f>
        <v>0</v>
      </c>
      <c r="V47" s="13">
        <f t="shared" si="1"/>
        <v>3144.260000000002</v>
      </c>
    </row>
    <row r="48" spans="1:22">
      <c r="A48" t="s">
        <v>188</v>
      </c>
      <c r="B48" t="s">
        <v>120</v>
      </c>
      <c r="C48" t="s">
        <v>121</v>
      </c>
      <c r="D48" t="s">
        <v>46</v>
      </c>
      <c r="E48" t="s">
        <v>47</v>
      </c>
      <c r="F48" t="s">
        <v>66</v>
      </c>
      <c r="G48" t="s">
        <v>49</v>
      </c>
      <c r="H48" t="s">
        <v>177</v>
      </c>
      <c r="I48" t="s">
        <v>29</v>
      </c>
      <c r="J48" t="s">
        <v>69</v>
      </c>
      <c r="K48" t="s">
        <v>31</v>
      </c>
      <c r="L48" s="4">
        <v>45713</v>
      </c>
      <c r="M48" s="4">
        <v>45741</v>
      </c>
      <c r="N48" s="4">
        <v>45736</v>
      </c>
      <c r="O48" t="s">
        <v>32</v>
      </c>
      <c r="P48" s="5">
        <v>1</v>
      </c>
      <c r="Q48" s="6">
        <v>24600</v>
      </c>
      <c r="R48" s="6">
        <v>24117.91</v>
      </c>
      <c r="S48">
        <v>3</v>
      </c>
      <c r="T48">
        <f t="shared" si="0"/>
        <v>0</v>
      </c>
      <c r="U48">
        <f>IF(COUNTIFS($B$2:B48,B48,$F$2:F48,F48)=1,1,0)</f>
        <v>0</v>
      </c>
      <c r="V48" s="13">
        <f t="shared" si="1"/>
        <v>482.09000000000015</v>
      </c>
    </row>
    <row r="49" spans="1:22">
      <c r="A49" t="s">
        <v>189</v>
      </c>
      <c r="B49" t="s">
        <v>123</v>
      </c>
      <c r="C49" t="s">
        <v>124</v>
      </c>
      <c r="D49" t="s">
        <v>56</v>
      </c>
      <c r="E49" t="s">
        <v>57</v>
      </c>
      <c r="F49" t="s">
        <v>75</v>
      </c>
      <c r="G49" t="s">
        <v>59</v>
      </c>
      <c r="H49" t="s">
        <v>180</v>
      </c>
      <c r="I49" t="s">
        <v>69</v>
      </c>
      <c r="J49" t="s">
        <v>30</v>
      </c>
      <c r="K49" t="s">
        <v>41</v>
      </c>
      <c r="L49" s="4">
        <v>45807</v>
      </c>
      <c r="M49" s="4">
        <v>45823</v>
      </c>
      <c r="N49" s="4">
        <v>45811</v>
      </c>
      <c r="O49" t="s">
        <v>32</v>
      </c>
      <c r="P49" s="5">
        <v>1</v>
      </c>
      <c r="Q49" s="6">
        <v>33800</v>
      </c>
      <c r="R49" s="6">
        <v>32126.3</v>
      </c>
      <c r="S49">
        <v>0</v>
      </c>
      <c r="T49">
        <f t="shared" si="0"/>
        <v>0</v>
      </c>
      <c r="U49">
        <f>IF(COUNTIFS($B$2:B49,B49,$F$2:F49,F49)=1,1,0)</f>
        <v>0</v>
      </c>
      <c r="V49" s="13">
        <f t="shared" si="1"/>
        <v>1673.7000000000007</v>
      </c>
    </row>
    <row r="50" spans="1:22">
      <c r="A50" t="s">
        <v>190</v>
      </c>
      <c r="B50" t="s">
        <v>126</v>
      </c>
      <c r="C50" t="s">
        <v>127</v>
      </c>
      <c r="D50" t="s">
        <v>64</v>
      </c>
      <c r="E50" t="s">
        <v>65</v>
      </c>
      <c r="F50" t="s">
        <v>26</v>
      </c>
      <c r="G50" t="s">
        <v>67</v>
      </c>
      <c r="H50" t="s">
        <v>163</v>
      </c>
      <c r="I50" t="s">
        <v>29</v>
      </c>
      <c r="J50" t="s">
        <v>29</v>
      </c>
      <c r="K50" t="s">
        <v>78</v>
      </c>
      <c r="L50" s="4">
        <v>45843</v>
      </c>
      <c r="M50" s="4">
        <v>45861</v>
      </c>
      <c r="N50" s="4">
        <v>45864</v>
      </c>
      <c r="O50" t="s">
        <v>32</v>
      </c>
      <c r="P50" s="5">
        <v>1</v>
      </c>
      <c r="Q50" s="6">
        <v>13400</v>
      </c>
      <c r="R50" s="6">
        <v>14736.71</v>
      </c>
      <c r="S50">
        <v>2</v>
      </c>
      <c r="T50">
        <f t="shared" si="0"/>
        <v>3</v>
      </c>
      <c r="U50">
        <f>IF(COUNTIFS($B$2:B50,B50,$F$2:F50,F50)=1,1,0)</f>
        <v>0</v>
      </c>
      <c r="V50" s="13">
        <f t="shared" si="1"/>
        <v>-1336.7099999999991</v>
      </c>
    </row>
    <row r="51" spans="1:22">
      <c r="A51" t="s">
        <v>191</v>
      </c>
      <c r="B51" t="s">
        <v>129</v>
      </c>
      <c r="C51" t="s">
        <v>130</v>
      </c>
      <c r="D51" t="s">
        <v>73</v>
      </c>
      <c r="E51" t="s">
        <v>74</v>
      </c>
      <c r="F51" t="s">
        <v>38</v>
      </c>
      <c r="G51" t="s">
        <v>76</v>
      </c>
      <c r="H51" t="s">
        <v>165</v>
      </c>
      <c r="I51" t="s">
        <v>29</v>
      </c>
      <c r="J51" t="s">
        <v>30</v>
      </c>
      <c r="K51" t="s">
        <v>143</v>
      </c>
      <c r="L51" s="4">
        <v>45809</v>
      </c>
      <c r="M51" s="4">
        <v>45816</v>
      </c>
      <c r="N51" s="4"/>
      <c r="O51" t="s">
        <v>52</v>
      </c>
      <c r="P51" s="5">
        <v>0.85</v>
      </c>
      <c r="Q51" s="6">
        <v>8100</v>
      </c>
      <c r="R51" s="6">
        <v>8469.14</v>
      </c>
      <c r="S51">
        <v>3</v>
      </c>
      <c r="T51" t="str">
        <f t="shared" si="0"/>
        <v/>
      </c>
      <c r="U51">
        <f>IF(COUNTIFS($B$2:B51,B51,$F$2:F51,F51)=1,1,0)</f>
        <v>0</v>
      </c>
      <c r="V51" s="13">
        <f t="shared" si="1"/>
        <v>-369.13999999999942</v>
      </c>
    </row>
    <row r="52" spans="1:22">
      <c r="A52" t="s">
        <v>192</v>
      </c>
      <c r="B52" t="s">
        <v>132</v>
      </c>
      <c r="C52" t="s">
        <v>133</v>
      </c>
      <c r="D52" t="s">
        <v>82</v>
      </c>
      <c r="E52" t="s">
        <v>83</v>
      </c>
      <c r="F52" t="s">
        <v>48</v>
      </c>
      <c r="G52" t="s">
        <v>84</v>
      </c>
      <c r="H52" t="s">
        <v>167</v>
      </c>
      <c r="I52" t="s">
        <v>29</v>
      </c>
      <c r="J52" t="s">
        <v>30</v>
      </c>
      <c r="K52" t="s">
        <v>31</v>
      </c>
      <c r="L52" s="4">
        <v>45889</v>
      </c>
      <c r="M52" s="4">
        <v>45904</v>
      </c>
      <c r="N52" s="4">
        <v>45897</v>
      </c>
      <c r="O52" t="s">
        <v>32</v>
      </c>
      <c r="P52" s="5">
        <v>1</v>
      </c>
      <c r="Q52" s="6">
        <v>38800</v>
      </c>
      <c r="R52" s="6">
        <v>36258.300000000003</v>
      </c>
      <c r="S52">
        <v>1</v>
      </c>
      <c r="T52">
        <f t="shared" si="0"/>
        <v>0</v>
      </c>
      <c r="U52">
        <f>IF(COUNTIFS($B$2:B52,B52,$F$2:F52,F52)=1,1,0)</f>
        <v>0</v>
      </c>
      <c r="V52" s="13">
        <f t="shared" si="1"/>
        <v>2541.6999999999971</v>
      </c>
    </row>
    <row r="53" spans="1:22">
      <c r="A53" t="s">
        <v>193</v>
      </c>
      <c r="B53" t="s">
        <v>135</v>
      </c>
      <c r="C53" t="s">
        <v>136</v>
      </c>
      <c r="D53" t="s">
        <v>24</v>
      </c>
      <c r="E53" t="s">
        <v>25</v>
      </c>
      <c r="F53" t="s">
        <v>58</v>
      </c>
      <c r="G53" t="s">
        <v>90</v>
      </c>
      <c r="H53" t="s">
        <v>169</v>
      </c>
      <c r="I53" t="s">
        <v>30</v>
      </c>
      <c r="J53" t="s">
        <v>30</v>
      </c>
      <c r="K53" t="s">
        <v>78</v>
      </c>
      <c r="L53" s="4">
        <v>46028</v>
      </c>
      <c r="M53" s="4">
        <v>46048</v>
      </c>
      <c r="N53" s="4">
        <v>46043</v>
      </c>
      <c r="O53" t="s">
        <v>32</v>
      </c>
      <c r="P53" s="5">
        <v>1</v>
      </c>
      <c r="Q53" s="6">
        <v>25300</v>
      </c>
      <c r="R53" s="6">
        <v>24240.58</v>
      </c>
      <c r="S53">
        <v>1</v>
      </c>
      <c r="T53">
        <f t="shared" si="0"/>
        <v>0</v>
      </c>
      <c r="U53">
        <f>IF(COUNTIFS($B$2:B53,B53,$F$2:F53,F53)=1,1,0)</f>
        <v>0</v>
      </c>
      <c r="V53" s="13">
        <f t="shared" si="1"/>
        <v>1059.4199999999983</v>
      </c>
    </row>
    <row r="54" spans="1:22">
      <c r="A54" t="s">
        <v>194</v>
      </c>
      <c r="B54" t="s">
        <v>138</v>
      </c>
      <c r="C54" t="s">
        <v>139</v>
      </c>
      <c r="D54" t="s">
        <v>36</v>
      </c>
      <c r="E54" t="s">
        <v>37</v>
      </c>
      <c r="F54" t="s">
        <v>66</v>
      </c>
      <c r="G54" t="s">
        <v>95</v>
      </c>
      <c r="H54" t="s">
        <v>171</v>
      </c>
      <c r="I54" t="s">
        <v>29</v>
      </c>
      <c r="J54" t="s">
        <v>30</v>
      </c>
      <c r="K54" t="s">
        <v>31</v>
      </c>
      <c r="L54" s="4">
        <v>46057</v>
      </c>
      <c r="M54" s="4">
        <v>46081</v>
      </c>
      <c r="N54" s="4">
        <v>46080</v>
      </c>
      <c r="O54" t="s">
        <v>32</v>
      </c>
      <c r="P54" s="5">
        <v>1</v>
      </c>
      <c r="Q54" s="6">
        <v>21800</v>
      </c>
      <c r="R54" s="6">
        <v>23050.68</v>
      </c>
      <c r="S54">
        <v>2</v>
      </c>
      <c r="T54">
        <f t="shared" si="0"/>
        <v>0</v>
      </c>
      <c r="U54">
        <f>IF(COUNTIFS($B$2:B54,B54,$F$2:F54,F54)=1,1,0)</f>
        <v>0</v>
      </c>
      <c r="V54" s="13">
        <f t="shared" si="1"/>
        <v>-1250.6800000000003</v>
      </c>
    </row>
    <row r="55" spans="1:22">
      <c r="A55" t="s">
        <v>195</v>
      </c>
      <c r="B55" t="s">
        <v>141</v>
      </c>
      <c r="C55" t="s">
        <v>142</v>
      </c>
      <c r="D55" t="s">
        <v>46</v>
      </c>
      <c r="E55" t="s">
        <v>47</v>
      </c>
      <c r="F55" t="s">
        <v>75</v>
      </c>
      <c r="G55" t="s">
        <v>27</v>
      </c>
      <c r="H55" t="s">
        <v>173</v>
      </c>
      <c r="I55" t="s">
        <v>30</v>
      </c>
      <c r="J55" t="s">
        <v>30</v>
      </c>
      <c r="K55" t="s">
        <v>143</v>
      </c>
      <c r="L55" s="4">
        <v>45682</v>
      </c>
      <c r="M55" s="4">
        <v>45687</v>
      </c>
      <c r="N55" s="4">
        <v>45696</v>
      </c>
      <c r="O55" t="s">
        <v>32</v>
      </c>
      <c r="P55" s="5">
        <v>1</v>
      </c>
      <c r="Q55" s="6">
        <v>7400</v>
      </c>
      <c r="R55" s="6">
        <v>7294.06</v>
      </c>
      <c r="S55">
        <v>1</v>
      </c>
      <c r="T55">
        <f t="shared" si="0"/>
        <v>9</v>
      </c>
      <c r="U55">
        <f>IF(COUNTIFS($B$2:B55,B55,$F$2:F55,F55)=1,1,0)</f>
        <v>0</v>
      </c>
      <c r="V55" s="13">
        <f t="shared" si="1"/>
        <v>105.9399999999996</v>
      </c>
    </row>
    <row r="56" spans="1:22">
      <c r="A56" t="s">
        <v>196</v>
      </c>
      <c r="B56" t="s">
        <v>145</v>
      </c>
      <c r="C56" t="s">
        <v>146</v>
      </c>
      <c r="D56" t="s">
        <v>56</v>
      </c>
      <c r="E56" t="s">
        <v>57</v>
      </c>
      <c r="F56" t="s">
        <v>26</v>
      </c>
      <c r="G56" t="s">
        <v>39</v>
      </c>
      <c r="H56" t="s">
        <v>175</v>
      </c>
      <c r="I56" t="s">
        <v>29</v>
      </c>
      <c r="J56" t="s">
        <v>30</v>
      </c>
      <c r="K56" t="s">
        <v>31</v>
      </c>
      <c r="L56" s="4">
        <v>46047</v>
      </c>
      <c r="M56" s="4">
        <v>46058</v>
      </c>
      <c r="N56" s="4">
        <v>46063</v>
      </c>
      <c r="O56" t="s">
        <v>32</v>
      </c>
      <c r="P56" s="5">
        <v>1</v>
      </c>
      <c r="Q56" s="6">
        <v>5100</v>
      </c>
      <c r="R56" s="6">
        <v>4829.66</v>
      </c>
      <c r="S56">
        <v>3</v>
      </c>
      <c r="T56">
        <f t="shared" si="0"/>
        <v>5</v>
      </c>
      <c r="U56">
        <f>IF(COUNTIFS($B$2:B56,B56,$F$2:F56,F56)=1,1,0)</f>
        <v>0</v>
      </c>
      <c r="V56" s="13">
        <f t="shared" si="1"/>
        <v>270.34000000000015</v>
      </c>
    </row>
    <row r="57" spans="1:22">
      <c r="A57" t="s">
        <v>197</v>
      </c>
      <c r="B57" t="s">
        <v>148</v>
      </c>
      <c r="C57" t="s">
        <v>149</v>
      </c>
      <c r="D57" t="s">
        <v>64</v>
      </c>
      <c r="E57" t="s">
        <v>65</v>
      </c>
      <c r="F57" t="s">
        <v>38</v>
      </c>
      <c r="G57" t="s">
        <v>49</v>
      </c>
      <c r="H57" t="s">
        <v>177</v>
      </c>
      <c r="I57" t="s">
        <v>86</v>
      </c>
      <c r="J57" t="s">
        <v>30</v>
      </c>
      <c r="K57" t="s">
        <v>51</v>
      </c>
      <c r="L57" s="4">
        <v>45774</v>
      </c>
      <c r="M57" s="4">
        <v>45801</v>
      </c>
      <c r="N57" s="4"/>
      <c r="O57" t="s">
        <v>42</v>
      </c>
      <c r="P57" s="5">
        <v>0</v>
      </c>
      <c r="Q57" s="6">
        <v>12300</v>
      </c>
      <c r="R57" s="6">
        <v>0</v>
      </c>
      <c r="S57">
        <v>2</v>
      </c>
      <c r="T57" t="str">
        <f t="shared" si="0"/>
        <v/>
      </c>
      <c r="U57">
        <f>IF(COUNTIFS($B$2:B57,B57,$F$2:F57,F57)=1,1,0)</f>
        <v>0</v>
      </c>
      <c r="V57" s="13">
        <f t="shared" si="1"/>
        <v>12300</v>
      </c>
    </row>
    <row r="58" spans="1:22">
      <c r="A58" t="s">
        <v>198</v>
      </c>
      <c r="B58" t="s">
        <v>151</v>
      </c>
      <c r="C58" t="s">
        <v>152</v>
      </c>
      <c r="D58" t="s">
        <v>73</v>
      </c>
      <c r="E58" t="s">
        <v>74</v>
      </c>
      <c r="F58" t="s">
        <v>48</v>
      </c>
      <c r="G58" t="s">
        <v>59</v>
      </c>
      <c r="H58" t="s">
        <v>180</v>
      </c>
      <c r="I58" t="s">
        <v>29</v>
      </c>
      <c r="J58" t="s">
        <v>30</v>
      </c>
      <c r="K58" t="s">
        <v>31</v>
      </c>
      <c r="L58" s="4">
        <v>46084</v>
      </c>
      <c r="M58" s="4">
        <v>46101</v>
      </c>
      <c r="N58" s="4">
        <v>46095</v>
      </c>
      <c r="O58" t="s">
        <v>32</v>
      </c>
      <c r="P58" s="5">
        <v>1</v>
      </c>
      <c r="Q58" s="6">
        <v>34900</v>
      </c>
      <c r="R58" s="6">
        <v>38190.160000000003</v>
      </c>
      <c r="S58">
        <v>3</v>
      </c>
      <c r="T58">
        <f t="shared" si="0"/>
        <v>0</v>
      </c>
      <c r="U58">
        <f>IF(COUNTIFS($B$2:B58,B58,$F$2:F58,F58)=1,1,0)</f>
        <v>0</v>
      </c>
      <c r="V58" s="13">
        <f t="shared" si="1"/>
        <v>-3290.1600000000035</v>
      </c>
    </row>
    <row r="59" spans="1:22">
      <c r="A59" t="s">
        <v>199</v>
      </c>
      <c r="B59" t="s">
        <v>154</v>
      </c>
      <c r="C59" t="s">
        <v>155</v>
      </c>
      <c r="D59" t="s">
        <v>82</v>
      </c>
      <c r="E59" t="s">
        <v>83</v>
      </c>
      <c r="F59" t="s">
        <v>58</v>
      </c>
      <c r="G59" t="s">
        <v>67</v>
      </c>
      <c r="H59" t="s">
        <v>163</v>
      </c>
      <c r="I59" t="s">
        <v>69</v>
      </c>
      <c r="J59" t="s">
        <v>30</v>
      </c>
      <c r="K59" t="s">
        <v>41</v>
      </c>
      <c r="L59" s="4">
        <v>46074</v>
      </c>
      <c r="M59" s="4">
        <v>46080</v>
      </c>
      <c r="N59" s="4">
        <v>46090</v>
      </c>
      <c r="O59" t="s">
        <v>32</v>
      </c>
      <c r="P59" s="5">
        <v>1</v>
      </c>
      <c r="Q59" s="6">
        <v>41000</v>
      </c>
      <c r="R59" s="6">
        <v>39267.89</v>
      </c>
      <c r="S59">
        <v>0</v>
      </c>
      <c r="T59">
        <f t="shared" si="0"/>
        <v>10</v>
      </c>
      <c r="U59">
        <f>IF(COUNTIFS($B$2:B59,B59,$F$2:F59,F59)=1,1,0)</f>
        <v>0</v>
      </c>
      <c r="V59" s="13">
        <f t="shared" si="1"/>
        <v>1732.1100000000006</v>
      </c>
    </row>
    <row r="60" spans="1:22">
      <c r="A60" t="s">
        <v>200</v>
      </c>
      <c r="B60" t="s">
        <v>157</v>
      </c>
      <c r="C60" t="s">
        <v>158</v>
      </c>
      <c r="D60" t="s">
        <v>24</v>
      </c>
      <c r="E60" t="s">
        <v>25</v>
      </c>
      <c r="F60" t="s">
        <v>66</v>
      </c>
      <c r="G60" t="s">
        <v>76</v>
      </c>
      <c r="H60" t="s">
        <v>165</v>
      </c>
      <c r="I60" t="s">
        <v>29</v>
      </c>
      <c r="J60" t="s">
        <v>29</v>
      </c>
      <c r="K60" t="s">
        <v>41</v>
      </c>
      <c r="L60" s="4">
        <v>46084</v>
      </c>
      <c r="M60" s="4">
        <v>46090</v>
      </c>
      <c r="N60" s="4">
        <v>46104</v>
      </c>
      <c r="O60" t="s">
        <v>32</v>
      </c>
      <c r="P60" s="5">
        <v>1</v>
      </c>
      <c r="Q60" s="6">
        <v>14600</v>
      </c>
      <c r="R60" s="6">
        <v>13725.35</v>
      </c>
      <c r="S60">
        <v>0</v>
      </c>
      <c r="T60">
        <f t="shared" si="0"/>
        <v>14</v>
      </c>
      <c r="U60">
        <f>IF(COUNTIFS($B$2:B60,B60,$F$2:F60,F60)=1,1,0)</f>
        <v>0</v>
      </c>
      <c r="V60" s="13">
        <f t="shared" si="1"/>
        <v>874.64999999999964</v>
      </c>
    </row>
    <row r="61" spans="1:22">
      <c r="A61" t="s">
        <v>201</v>
      </c>
      <c r="B61" t="s">
        <v>160</v>
      </c>
      <c r="C61" t="s">
        <v>161</v>
      </c>
      <c r="D61" t="s">
        <v>36</v>
      </c>
      <c r="E61" t="s">
        <v>37</v>
      </c>
      <c r="F61" t="s">
        <v>75</v>
      </c>
      <c r="G61" t="s">
        <v>90</v>
      </c>
      <c r="H61" t="s">
        <v>169</v>
      </c>
      <c r="I61" t="s">
        <v>69</v>
      </c>
      <c r="J61" t="s">
        <v>29</v>
      </c>
      <c r="K61" t="s">
        <v>31</v>
      </c>
      <c r="L61" s="4">
        <v>46078</v>
      </c>
      <c r="M61" s="4">
        <v>46094</v>
      </c>
      <c r="N61" s="4">
        <v>46105</v>
      </c>
      <c r="O61" t="s">
        <v>32</v>
      </c>
      <c r="P61" s="5">
        <v>1</v>
      </c>
      <c r="Q61" s="6">
        <v>2100</v>
      </c>
      <c r="R61" s="6">
        <v>2282.06</v>
      </c>
      <c r="S61">
        <v>0</v>
      </c>
      <c r="T61">
        <f t="shared" si="0"/>
        <v>11</v>
      </c>
      <c r="U61">
        <f>IF(COUNTIFS($B$2:B61,B61,$F$2:F61,F61)=1,1,0)</f>
        <v>0</v>
      </c>
      <c r="V61" s="13">
        <f t="shared" si="1"/>
        <v>-182.05999999999995</v>
      </c>
    </row>
    <row r="62" spans="1:22">
      <c r="A62" t="s">
        <v>202</v>
      </c>
      <c r="B62" t="s">
        <v>22</v>
      </c>
      <c r="C62" t="s">
        <v>23</v>
      </c>
      <c r="D62" t="s">
        <v>24</v>
      </c>
      <c r="E62" t="s">
        <v>25</v>
      </c>
      <c r="F62" t="s">
        <v>26</v>
      </c>
      <c r="G62" t="s">
        <v>95</v>
      </c>
      <c r="H62" t="s">
        <v>203</v>
      </c>
      <c r="I62" t="s">
        <v>29</v>
      </c>
      <c r="J62" t="s">
        <v>30</v>
      </c>
      <c r="K62" t="s">
        <v>178</v>
      </c>
      <c r="L62" s="4">
        <v>46107</v>
      </c>
      <c r="M62" s="4">
        <v>46132</v>
      </c>
      <c r="N62" s="4"/>
      <c r="O62" t="s">
        <v>32</v>
      </c>
      <c r="P62" s="5">
        <v>0</v>
      </c>
      <c r="Q62" s="6">
        <v>9200</v>
      </c>
      <c r="R62" s="6">
        <v>0</v>
      </c>
      <c r="S62">
        <v>0</v>
      </c>
      <c r="T62" t="str">
        <f t="shared" si="0"/>
        <v/>
      </c>
      <c r="U62">
        <f>IF(COUNTIFS($B$2:B62,B62,$F$2:F62,F62)=1,1,0)</f>
        <v>0</v>
      </c>
      <c r="V62" s="13">
        <f t="shared" si="1"/>
        <v>9200</v>
      </c>
    </row>
    <row r="63" spans="1:22">
      <c r="A63" t="s">
        <v>204</v>
      </c>
      <c r="B63" t="s">
        <v>34</v>
      </c>
      <c r="C63" t="s">
        <v>35</v>
      </c>
      <c r="D63" t="s">
        <v>36</v>
      </c>
      <c r="E63" t="s">
        <v>37</v>
      </c>
      <c r="F63" t="s">
        <v>38</v>
      </c>
      <c r="G63" t="s">
        <v>27</v>
      </c>
      <c r="H63" t="s">
        <v>205</v>
      </c>
      <c r="I63" t="s">
        <v>69</v>
      </c>
      <c r="J63" t="s">
        <v>69</v>
      </c>
      <c r="K63" t="s">
        <v>78</v>
      </c>
      <c r="L63" s="4">
        <v>45839</v>
      </c>
      <c r="M63" s="4">
        <v>45855</v>
      </c>
      <c r="N63" s="4">
        <v>45856</v>
      </c>
      <c r="O63" t="s">
        <v>32</v>
      </c>
      <c r="P63" s="5">
        <v>1</v>
      </c>
      <c r="Q63" s="6">
        <v>27300</v>
      </c>
      <c r="R63" s="6">
        <v>28221.85</v>
      </c>
      <c r="S63">
        <v>4</v>
      </c>
      <c r="T63">
        <f t="shared" si="0"/>
        <v>1</v>
      </c>
      <c r="U63">
        <f>IF(COUNTIFS($B$2:B63,B63,$F$2:F63,F63)=1,1,0)</f>
        <v>0</v>
      </c>
      <c r="V63" s="13">
        <f t="shared" si="1"/>
        <v>-921.84999999999854</v>
      </c>
    </row>
    <row r="64" spans="1:22">
      <c r="A64" t="s">
        <v>206</v>
      </c>
      <c r="B64" t="s">
        <v>44</v>
      </c>
      <c r="C64" t="s">
        <v>45</v>
      </c>
      <c r="D64" t="s">
        <v>46</v>
      </c>
      <c r="E64" t="s">
        <v>47</v>
      </c>
      <c r="F64" t="s">
        <v>48</v>
      </c>
      <c r="G64" t="s">
        <v>39</v>
      </c>
      <c r="H64" t="s">
        <v>207</v>
      </c>
      <c r="I64" t="s">
        <v>86</v>
      </c>
      <c r="J64" t="s">
        <v>30</v>
      </c>
      <c r="K64" t="s">
        <v>143</v>
      </c>
      <c r="L64" s="4">
        <v>45793</v>
      </c>
      <c r="M64" s="4">
        <v>45814</v>
      </c>
      <c r="N64" s="4">
        <v>45815</v>
      </c>
      <c r="O64" t="s">
        <v>32</v>
      </c>
      <c r="P64" s="5">
        <v>1</v>
      </c>
      <c r="Q64" s="6">
        <v>38500</v>
      </c>
      <c r="R64" s="6">
        <v>39974.339999999997</v>
      </c>
      <c r="S64">
        <v>2</v>
      </c>
      <c r="T64">
        <f t="shared" si="0"/>
        <v>1</v>
      </c>
      <c r="U64">
        <f>IF(COUNTIFS($B$2:B64,B64,$F$2:F64,F64)=1,1,0)</f>
        <v>0</v>
      </c>
      <c r="V64" s="13">
        <f t="shared" si="1"/>
        <v>-1474.3399999999965</v>
      </c>
    </row>
    <row r="65" spans="1:22">
      <c r="A65" t="s">
        <v>208</v>
      </c>
      <c r="B65" t="s">
        <v>54</v>
      </c>
      <c r="C65" t="s">
        <v>55</v>
      </c>
      <c r="D65" t="s">
        <v>56</v>
      </c>
      <c r="E65" t="s">
        <v>57</v>
      </c>
      <c r="F65" t="s">
        <v>58</v>
      </c>
      <c r="G65" t="s">
        <v>49</v>
      </c>
      <c r="H65" t="s">
        <v>209</v>
      </c>
      <c r="I65" t="s">
        <v>69</v>
      </c>
      <c r="J65" t="s">
        <v>30</v>
      </c>
      <c r="K65" t="s">
        <v>41</v>
      </c>
      <c r="L65" s="4">
        <v>46112</v>
      </c>
      <c r="M65" s="4">
        <v>46132</v>
      </c>
      <c r="N65" s="4"/>
      <c r="O65" t="s">
        <v>32</v>
      </c>
      <c r="P65" s="5">
        <v>0</v>
      </c>
      <c r="Q65" s="6">
        <v>42700</v>
      </c>
      <c r="R65" s="6">
        <v>0</v>
      </c>
      <c r="S65">
        <v>3</v>
      </c>
      <c r="T65" t="str">
        <f t="shared" si="0"/>
        <v/>
      </c>
      <c r="U65">
        <f>IF(COUNTIFS($B$2:B65,B65,$F$2:F65,F65)=1,1,0)</f>
        <v>0</v>
      </c>
      <c r="V65" s="13">
        <f t="shared" si="1"/>
        <v>42700</v>
      </c>
    </row>
    <row r="66" spans="1:22">
      <c r="A66" t="s">
        <v>210</v>
      </c>
      <c r="B66" t="s">
        <v>62</v>
      </c>
      <c r="C66" t="s">
        <v>63</v>
      </c>
      <c r="D66" t="s">
        <v>64</v>
      </c>
      <c r="E66" t="s">
        <v>65</v>
      </c>
      <c r="F66" t="s">
        <v>66</v>
      </c>
      <c r="G66" t="s">
        <v>59</v>
      </c>
      <c r="H66" t="s">
        <v>211</v>
      </c>
      <c r="I66" t="s">
        <v>29</v>
      </c>
      <c r="J66" t="s">
        <v>29</v>
      </c>
      <c r="K66" t="s">
        <v>78</v>
      </c>
      <c r="L66" s="4">
        <v>45928</v>
      </c>
      <c r="M66" s="4">
        <v>45945</v>
      </c>
      <c r="N66" s="4">
        <v>45953</v>
      </c>
      <c r="O66" t="s">
        <v>32</v>
      </c>
      <c r="P66" s="5">
        <v>1</v>
      </c>
      <c r="Q66" s="6">
        <v>5500</v>
      </c>
      <c r="R66" s="6">
        <v>5774.78</v>
      </c>
      <c r="S66">
        <v>4</v>
      </c>
      <c r="T66">
        <f t="shared" ref="T66:T129" si="2">IF(N66="","",MAX(0,N66-M66))</f>
        <v>8</v>
      </c>
      <c r="U66">
        <f>IF(COUNTIFS($B$2:B66,B66,$F$2:F66,F66)=1,1,0)</f>
        <v>0</v>
      </c>
      <c r="V66" s="13">
        <f t="shared" ref="V66:V129" si="3">Q66-R66</f>
        <v>-274.77999999999975</v>
      </c>
    </row>
    <row r="67" spans="1:22">
      <c r="A67" t="s">
        <v>212</v>
      </c>
      <c r="B67" t="s">
        <v>71</v>
      </c>
      <c r="C67" t="s">
        <v>72</v>
      </c>
      <c r="D67" t="s">
        <v>73</v>
      </c>
      <c r="E67" t="s">
        <v>74</v>
      </c>
      <c r="F67" t="s">
        <v>75</v>
      </c>
      <c r="G67" t="s">
        <v>67</v>
      </c>
      <c r="H67" t="s">
        <v>213</v>
      </c>
      <c r="I67" t="s">
        <v>29</v>
      </c>
      <c r="J67" t="s">
        <v>29</v>
      </c>
      <c r="K67" t="s">
        <v>143</v>
      </c>
      <c r="L67" s="4">
        <v>45923</v>
      </c>
      <c r="M67" s="4">
        <v>45937</v>
      </c>
      <c r="N67" s="4"/>
      <c r="O67" t="s">
        <v>32</v>
      </c>
      <c r="P67" s="5">
        <v>0.85</v>
      </c>
      <c r="Q67" s="6">
        <v>25400</v>
      </c>
      <c r="R67" s="6">
        <v>24073.83</v>
      </c>
      <c r="S67">
        <v>3</v>
      </c>
      <c r="T67" t="str">
        <f t="shared" si="2"/>
        <v/>
      </c>
      <c r="U67">
        <f>IF(COUNTIFS($B$2:B67,B67,$F$2:F67,F67)=1,1,0)</f>
        <v>0</v>
      </c>
      <c r="V67" s="13">
        <f t="shared" si="3"/>
        <v>1326.1699999999983</v>
      </c>
    </row>
    <row r="68" spans="1:22">
      <c r="A68" t="s">
        <v>214</v>
      </c>
      <c r="B68" t="s">
        <v>80</v>
      </c>
      <c r="C68" t="s">
        <v>81</v>
      </c>
      <c r="D68" t="s">
        <v>82</v>
      </c>
      <c r="E68" t="s">
        <v>83</v>
      </c>
      <c r="F68" t="s">
        <v>26</v>
      </c>
      <c r="G68" t="s">
        <v>76</v>
      </c>
      <c r="H68" t="s">
        <v>215</v>
      </c>
      <c r="I68" t="s">
        <v>29</v>
      </c>
      <c r="J68" t="s">
        <v>30</v>
      </c>
      <c r="K68" t="s">
        <v>78</v>
      </c>
      <c r="L68" s="4">
        <v>45857</v>
      </c>
      <c r="M68" s="4">
        <v>45863</v>
      </c>
      <c r="N68" s="4">
        <v>45875</v>
      </c>
      <c r="O68" t="s">
        <v>32</v>
      </c>
      <c r="P68" s="5">
        <v>1</v>
      </c>
      <c r="Q68" s="6">
        <v>9800</v>
      </c>
      <c r="R68" s="6">
        <v>9494.7099999999991</v>
      </c>
      <c r="S68">
        <v>1</v>
      </c>
      <c r="T68">
        <f t="shared" si="2"/>
        <v>12</v>
      </c>
      <c r="U68">
        <f>IF(COUNTIFS($B$2:B68,B68,$F$2:F68,F68)=1,1,0)</f>
        <v>0</v>
      </c>
      <c r="V68" s="13">
        <f t="shared" si="3"/>
        <v>305.29000000000087</v>
      </c>
    </row>
    <row r="69" spans="1:22">
      <c r="A69" t="s">
        <v>216</v>
      </c>
      <c r="B69" t="s">
        <v>88</v>
      </c>
      <c r="C69" t="s">
        <v>89</v>
      </c>
      <c r="D69" t="s">
        <v>24</v>
      </c>
      <c r="E69" t="s">
        <v>25</v>
      </c>
      <c r="F69" t="s">
        <v>38</v>
      </c>
      <c r="G69" t="s">
        <v>84</v>
      </c>
      <c r="H69" t="s">
        <v>217</v>
      </c>
      <c r="I69" t="s">
        <v>69</v>
      </c>
      <c r="J69" t="s">
        <v>29</v>
      </c>
      <c r="K69" t="s">
        <v>51</v>
      </c>
      <c r="L69" s="4">
        <v>45759</v>
      </c>
      <c r="M69" s="4">
        <v>45788</v>
      </c>
      <c r="N69" s="4"/>
      <c r="O69" t="s">
        <v>32</v>
      </c>
      <c r="P69" s="5">
        <v>0.4</v>
      </c>
      <c r="Q69" s="6">
        <v>17200</v>
      </c>
      <c r="R69" s="6">
        <v>16025.68</v>
      </c>
      <c r="S69">
        <v>1</v>
      </c>
      <c r="T69" t="str">
        <f t="shared" si="2"/>
        <v/>
      </c>
      <c r="U69">
        <f>IF(COUNTIFS($B$2:B69,B69,$F$2:F69,F69)=1,1,0)</f>
        <v>0</v>
      </c>
      <c r="V69" s="13">
        <f t="shared" si="3"/>
        <v>1174.3199999999997</v>
      </c>
    </row>
    <row r="70" spans="1:22">
      <c r="A70" t="s">
        <v>218</v>
      </c>
      <c r="B70" t="s">
        <v>93</v>
      </c>
      <c r="C70" t="s">
        <v>94</v>
      </c>
      <c r="D70" t="s">
        <v>36</v>
      </c>
      <c r="E70" t="s">
        <v>37</v>
      </c>
      <c r="F70" t="s">
        <v>48</v>
      </c>
      <c r="G70" t="s">
        <v>90</v>
      </c>
      <c r="H70" t="s">
        <v>219</v>
      </c>
      <c r="I70" t="s">
        <v>29</v>
      </c>
      <c r="J70" t="s">
        <v>30</v>
      </c>
      <c r="K70" t="s">
        <v>31</v>
      </c>
      <c r="L70" s="4">
        <v>46114</v>
      </c>
      <c r="M70" s="4">
        <v>46139</v>
      </c>
      <c r="N70" s="4"/>
      <c r="O70" t="s">
        <v>52</v>
      </c>
      <c r="P70" s="5">
        <v>0.5</v>
      </c>
      <c r="Q70" s="6">
        <v>6000</v>
      </c>
      <c r="R70" s="6">
        <v>7100.27</v>
      </c>
      <c r="S70">
        <v>2</v>
      </c>
      <c r="T70" t="str">
        <f t="shared" si="2"/>
        <v/>
      </c>
      <c r="U70">
        <f>IF(COUNTIFS($B$2:B70,B70,$F$2:F70,F70)=1,1,0)</f>
        <v>0</v>
      </c>
      <c r="V70" s="13">
        <f t="shared" si="3"/>
        <v>-1100.2700000000004</v>
      </c>
    </row>
    <row r="71" spans="1:22">
      <c r="A71" t="s">
        <v>220</v>
      </c>
      <c r="B71" t="s">
        <v>98</v>
      </c>
      <c r="C71" t="s">
        <v>99</v>
      </c>
      <c r="D71" t="s">
        <v>46</v>
      </c>
      <c r="E71" t="s">
        <v>47</v>
      </c>
      <c r="F71" t="s">
        <v>58</v>
      </c>
      <c r="G71" t="s">
        <v>95</v>
      </c>
      <c r="H71" t="s">
        <v>203</v>
      </c>
      <c r="I71" t="s">
        <v>29</v>
      </c>
      <c r="J71" t="s">
        <v>30</v>
      </c>
      <c r="K71" t="s">
        <v>178</v>
      </c>
      <c r="L71" s="4">
        <v>45779</v>
      </c>
      <c r="M71" s="4">
        <v>45809</v>
      </c>
      <c r="N71" s="4">
        <v>45811</v>
      </c>
      <c r="O71" t="s">
        <v>32</v>
      </c>
      <c r="P71" s="5">
        <v>1</v>
      </c>
      <c r="Q71" s="6">
        <v>37300</v>
      </c>
      <c r="R71" s="6">
        <v>36739.440000000002</v>
      </c>
      <c r="S71">
        <v>1</v>
      </c>
      <c r="T71">
        <f t="shared" si="2"/>
        <v>2</v>
      </c>
      <c r="U71">
        <f>IF(COUNTIFS($B$2:B71,B71,$F$2:F71,F71)=1,1,0)</f>
        <v>0</v>
      </c>
      <c r="V71" s="13">
        <f t="shared" si="3"/>
        <v>560.55999999999767</v>
      </c>
    </row>
    <row r="72" spans="1:22">
      <c r="A72" t="s">
        <v>221</v>
      </c>
      <c r="B72" t="s">
        <v>101</v>
      </c>
      <c r="C72" t="s">
        <v>102</v>
      </c>
      <c r="D72" t="s">
        <v>56</v>
      </c>
      <c r="E72" t="s">
        <v>57</v>
      </c>
      <c r="F72" t="s">
        <v>66</v>
      </c>
      <c r="G72" t="s">
        <v>27</v>
      </c>
      <c r="H72" t="s">
        <v>205</v>
      </c>
      <c r="I72" t="s">
        <v>69</v>
      </c>
      <c r="J72" t="s">
        <v>30</v>
      </c>
      <c r="K72" t="s">
        <v>31</v>
      </c>
      <c r="L72" s="4">
        <v>46153</v>
      </c>
      <c r="M72" s="4">
        <v>46165</v>
      </c>
      <c r="N72" s="4"/>
      <c r="O72" t="s">
        <v>42</v>
      </c>
      <c r="P72" s="5">
        <v>0</v>
      </c>
      <c r="Q72" s="6">
        <v>12300</v>
      </c>
      <c r="R72" s="6">
        <v>0</v>
      </c>
      <c r="S72">
        <v>1</v>
      </c>
      <c r="T72" t="str">
        <f t="shared" si="2"/>
        <v/>
      </c>
      <c r="U72">
        <f>IF(COUNTIFS($B$2:B72,B72,$F$2:F72,F72)=1,1,0)</f>
        <v>0</v>
      </c>
      <c r="V72" s="13">
        <f t="shared" si="3"/>
        <v>12300</v>
      </c>
    </row>
    <row r="73" spans="1:22">
      <c r="A73" t="s">
        <v>222</v>
      </c>
      <c r="B73" t="s">
        <v>104</v>
      </c>
      <c r="C73" t="s">
        <v>105</v>
      </c>
      <c r="D73" t="s">
        <v>64</v>
      </c>
      <c r="E73" t="s">
        <v>65</v>
      </c>
      <c r="F73" t="s">
        <v>75</v>
      </c>
      <c r="G73" t="s">
        <v>39</v>
      </c>
      <c r="H73" t="s">
        <v>207</v>
      </c>
      <c r="I73" t="s">
        <v>69</v>
      </c>
      <c r="J73" t="s">
        <v>29</v>
      </c>
      <c r="K73" t="s">
        <v>78</v>
      </c>
      <c r="L73" s="4">
        <v>46139</v>
      </c>
      <c r="M73" s="4">
        <v>46156</v>
      </c>
      <c r="N73" s="4">
        <v>46155</v>
      </c>
      <c r="O73" t="s">
        <v>32</v>
      </c>
      <c r="P73" s="5">
        <v>1</v>
      </c>
      <c r="Q73" s="6">
        <v>20200</v>
      </c>
      <c r="R73" s="6">
        <v>23435.09</v>
      </c>
      <c r="S73">
        <v>1</v>
      </c>
      <c r="T73">
        <f t="shared" si="2"/>
        <v>0</v>
      </c>
      <c r="U73">
        <f>IF(COUNTIFS($B$2:B73,B73,$F$2:F73,F73)=1,1,0)</f>
        <v>0</v>
      </c>
      <c r="V73" s="13">
        <f t="shared" si="3"/>
        <v>-3235.09</v>
      </c>
    </row>
    <row r="74" spans="1:22">
      <c r="A74" t="s">
        <v>223</v>
      </c>
      <c r="B74" t="s">
        <v>107</v>
      </c>
      <c r="C74" t="s">
        <v>108</v>
      </c>
      <c r="D74" t="s">
        <v>73</v>
      </c>
      <c r="E74" t="s">
        <v>74</v>
      </c>
      <c r="F74" t="s">
        <v>26</v>
      </c>
      <c r="G74" t="s">
        <v>49</v>
      </c>
      <c r="H74" t="s">
        <v>209</v>
      </c>
      <c r="I74" t="s">
        <v>86</v>
      </c>
      <c r="J74" t="s">
        <v>30</v>
      </c>
      <c r="K74" t="s">
        <v>78</v>
      </c>
      <c r="L74" s="4">
        <v>45996</v>
      </c>
      <c r="M74" s="4">
        <v>46007</v>
      </c>
      <c r="N74" s="4">
        <v>46008</v>
      </c>
      <c r="O74" t="s">
        <v>32</v>
      </c>
      <c r="P74" s="5">
        <v>1</v>
      </c>
      <c r="Q74" s="6">
        <v>8300</v>
      </c>
      <c r="R74" s="6">
        <v>8632.14</v>
      </c>
      <c r="S74">
        <v>2</v>
      </c>
      <c r="T74">
        <f t="shared" si="2"/>
        <v>1</v>
      </c>
      <c r="U74">
        <f>IF(COUNTIFS($B$2:B74,B74,$F$2:F74,F74)=1,1,0)</f>
        <v>0</v>
      </c>
      <c r="V74" s="13">
        <f t="shared" si="3"/>
        <v>-332.13999999999942</v>
      </c>
    </row>
    <row r="75" spans="1:22">
      <c r="A75" t="s">
        <v>224</v>
      </c>
      <c r="B75" t="s">
        <v>111</v>
      </c>
      <c r="C75" t="s">
        <v>112</v>
      </c>
      <c r="D75" t="s">
        <v>82</v>
      </c>
      <c r="E75" t="s">
        <v>83</v>
      </c>
      <c r="F75" t="s">
        <v>38</v>
      </c>
      <c r="G75" t="s">
        <v>59</v>
      </c>
      <c r="H75" t="s">
        <v>211</v>
      </c>
      <c r="I75" t="s">
        <v>30</v>
      </c>
      <c r="J75" t="s">
        <v>30</v>
      </c>
      <c r="K75" t="s">
        <v>51</v>
      </c>
      <c r="L75" s="4">
        <v>45781</v>
      </c>
      <c r="M75" s="4">
        <v>45785</v>
      </c>
      <c r="N75" s="4"/>
      <c r="O75" t="s">
        <v>52</v>
      </c>
      <c r="P75" s="5">
        <v>0.85</v>
      </c>
      <c r="Q75" s="6">
        <v>13800</v>
      </c>
      <c r="R75" s="6">
        <v>14446.73</v>
      </c>
      <c r="S75">
        <v>1</v>
      </c>
      <c r="T75" t="str">
        <f t="shared" si="2"/>
        <v/>
      </c>
      <c r="U75">
        <f>IF(COUNTIFS($B$2:B75,B75,$F$2:F75,F75)=1,1,0)</f>
        <v>0</v>
      </c>
      <c r="V75" s="13">
        <f t="shared" si="3"/>
        <v>-646.72999999999956</v>
      </c>
    </row>
    <row r="76" spans="1:22">
      <c r="A76" t="s">
        <v>225</v>
      </c>
      <c r="B76" t="s">
        <v>114</v>
      </c>
      <c r="C76" t="s">
        <v>115</v>
      </c>
      <c r="D76" t="s">
        <v>24</v>
      </c>
      <c r="E76" t="s">
        <v>25</v>
      </c>
      <c r="F76" t="s">
        <v>48</v>
      </c>
      <c r="G76" t="s">
        <v>67</v>
      </c>
      <c r="H76" t="s">
        <v>213</v>
      </c>
      <c r="I76" t="s">
        <v>29</v>
      </c>
      <c r="J76" t="s">
        <v>30</v>
      </c>
      <c r="K76" t="s">
        <v>41</v>
      </c>
      <c r="L76" s="4">
        <v>46115</v>
      </c>
      <c r="M76" s="4">
        <v>46139</v>
      </c>
      <c r="N76" s="4">
        <v>46142</v>
      </c>
      <c r="O76" t="s">
        <v>32</v>
      </c>
      <c r="P76" s="5">
        <v>1</v>
      </c>
      <c r="Q76" s="6">
        <v>11300</v>
      </c>
      <c r="R76" s="6">
        <v>12107.09</v>
      </c>
      <c r="S76">
        <v>2</v>
      </c>
      <c r="T76">
        <f t="shared" si="2"/>
        <v>3</v>
      </c>
      <c r="U76">
        <f>IF(COUNTIFS($B$2:B76,B76,$F$2:F76,F76)=1,1,0)</f>
        <v>0</v>
      </c>
      <c r="V76" s="13">
        <f t="shared" si="3"/>
        <v>-807.09000000000015</v>
      </c>
    </row>
    <row r="77" spans="1:22">
      <c r="A77" t="s">
        <v>226</v>
      </c>
      <c r="B77" t="s">
        <v>117</v>
      </c>
      <c r="C77" t="s">
        <v>118</v>
      </c>
      <c r="D77" t="s">
        <v>36</v>
      </c>
      <c r="E77" t="s">
        <v>37</v>
      </c>
      <c r="F77" t="s">
        <v>58</v>
      </c>
      <c r="G77" t="s">
        <v>76</v>
      </c>
      <c r="H77" t="s">
        <v>215</v>
      </c>
      <c r="I77" t="s">
        <v>29</v>
      </c>
      <c r="J77" t="s">
        <v>30</v>
      </c>
      <c r="K77" t="s">
        <v>41</v>
      </c>
      <c r="L77" s="4">
        <v>46024</v>
      </c>
      <c r="M77" s="4">
        <v>46036</v>
      </c>
      <c r="N77" s="4"/>
      <c r="O77" t="s">
        <v>52</v>
      </c>
      <c r="P77" s="5">
        <v>0.6</v>
      </c>
      <c r="Q77" s="6">
        <v>31500</v>
      </c>
      <c r="R77" s="6">
        <v>34322.6</v>
      </c>
      <c r="S77">
        <v>0</v>
      </c>
      <c r="T77" t="str">
        <f t="shared" si="2"/>
        <v/>
      </c>
      <c r="U77">
        <f>IF(COUNTIFS($B$2:B77,B77,$F$2:F77,F77)=1,1,0)</f>
        <v>0</v>
      </c>
      <c r="V77" s="13">
        <f t="shared" si="3"/>
        <v>-2822.5999999999985</v>
      </c>
    </row>
    <row r="78" spans="1:22">
      <c r="A78" t="s">
        <v>227</v>
      </c>
      <c r="B78" t="s">
        <v>120</v>
      </c>
      <c r="C78" t="s">
        <v>121</v>
      </c>
      <c r="D78" t="s">
        <v>46</v>
      </c>
      <c r="E78" t="s">
        <v>47</v>
      </c>
      <c r="F78" t="s">
        <v>66</v>
      </c>
      <c r="G78" t="s">
        <v>84</v>
      </c>
      <c r="H78" t="s">
        <v>217</v>
      </c>
      <c r="I78" t="s">
        <v>29</v>
      </c>
      <c r="J78" t="s">
        <v>30</v>
      </c>
      <c r="K78" t="s">
        <v>31</v>
      </c>
      <c r="L78" s="4">
        <v>45689</v>
      </c>
      <c r="M78" s="4">
        <v>45705</v>
      </c>
      <c r="N78" s="4">
        <v>45691</v>
      </c>
      <c r="O78" t="s">
        <v>32</v>
      </c>
      <c r="P78" s="5">
        <v>1</v>
      </c>
      <c r="Q78" s="6">
        <v>27800</v>
      </c>
      <c r="R78" s="6">
        <v>30531.97</v>
      </c>
      <c r="S78">
        <v>1</v>
      </c>
      <c r="T78">
        <f t="shared" si="2"/>
        <v>0</v>
      </c>
      <c r="U78">
        <f>IF(COUNTIFS($B$2:B78,B78,$F$2:F78,F78)=1,1,0)</f>
        <v>0</v>
      </c>
      <c r="V78" s="13">
        <f t="shared" si="3"/>
        <v>-2731.9700000000012</v>
      </c>
    </row>
    <row r="79" spans="1:22">
      <c r="A79" t="s">
        <v>228</v>
      </c>
      <c r="B79" t="s">
        <v>123</v>
      </c>
      <c r="C79" t="s">
        <v>124</v>
      </c>
      <c r="D79" t="s">
        <v>56</v>
      </c>
      <c r="E79" t="s">
        <v>57</v>
      </c>
      <c r="F79" t="s">
        <v>75</v>
      </c>
      <c r="G79" t="s">
        <v>90</v>
      </c>
      <c r="H79" t="s">
        <v>219</v>
      </c>
      <c r="I79" t="s">
        <v>69</v>
      </c>
      <c r="J79" t="s">
        <v>69</v>
      </c>
      <c r="K79" t="s">
        <v>51</v>
      </c>
      <c r="L79" s="4">
        <v>45683</v>
      </c>
      <c r="M79" s="4">
        <v>45710</v>
      </c>
      <c r="N79" s="4">
        <v>45712</v>
      </c>
      <c r="O79" t="s">
        <v>32</v>
      </c>
      <c r="P79" s="5">
        <v>1</v>
      </c>
      <c r="Q79" s="6">
        <v>34400</v>
      </c>
      <c r="R79" s="6">
        <v>37884.269999999997</v>
      </c>
      <c r="S79">
        <v>1</v>
      </c>
      <c r="T79">
        <f t="shared" si="2"/>
        <v>2</v>
      </c>
      <c r="U79">
        <f>IF(COUNTIFS($B$2:B79,B79,$F$2:F79,F79)=1,1,0)</f>
        <v>0</v>
      </c>
      <c r="V79" s="13">
        <f t="shared" si="3"/>
        <v>-3484.2699999999968</v>
      </c>
    </row>
    <row r="80" spans="1:22">
      <c r="A80" t="s">
        <v>229</v>
      </c>
      <c r="B80" t="s">
        <v>126</v>
      </c>
      <c r="C80" t="s">
        <v>127</v>
      </c>
      <c r="D80" t="s">
        <v>64</v>
      </c>
      <c r="E80" t="s">
        <v>65</v>
      </c>
      <c r="F80" t="s">
        <v>26</v>
      </c>
      <c r="G80" t="s">
        <v>95</v>
      </c>
      <c r="H80" t="s">
        <v>203</v>
      </c>
      <c r="I80" t="s">
        <v>86</v>
      </c>
      <c r="J80" t="s">
        <v>30</v>
      </c>
      <c r="K80" t="s">
        <v>51</v>
      </c>
      <c r="L80" s="4">
        <v>45835</v>
      </c>
      <c r="M80" s="4">
        <v>45840</v>
      </c>
      <c r="N80" s="4">
        <v>45844</v>
      </c>
      <c r="O80" t="s">
        <v>32</v>
      </c>
      <c r="P80" s="5">
        <v>1</v>
      </c>
      <c r="Q80" s="6">
        <v>19300</v>
      </c>
      <c r="R80" s="6">
        <v>19255.09</v>
      </c>
      <c r="S80">
        <v>2</v>
      </c>
      <c r="T80">
        <f t="shared" si="2"/>
        <v>4</v>
      </c>
      <c r="U80">
        <f>IF(COUNTIFS($B$2:B80,B80,$F$2:F80,F80)=1,1,0)</f>
        <v>0</v>
      </c>
      <c r="V80" s="13">
        <f t="shared" si="3"/>
        <v>44.909999999999854</v>
      </c>
    </row>
    <row r="81" spans="1:22">
      <c r="A81" t="s">
        <v>230</v>
      </c>
      <c r="B81" t="s">
        <v>129</v>
      </c>
      <c r="C81" t="s">
        <v>130</v>
      </c>
      <c r="D81" t="s">
        <v>73</v>
      </c>
      <c r="E81" t="s">
        <v>74</v>
      </c>
      <c r="F81" t="s">
        <v>38</v>
      </c>
      <c r="G81" t="s">
        <v>27</v>
      </c>
      <c r="H81" t="s">
        <v>205</v>
      </c>
      <c r="I81" t="s">
        <v>29</v>
      </c>
      <c r="J81" t="s">
        <v>30</v>
      </c>
      <c r="K81" t="s">
        <v>143</v>
      </c>
      <c r="L81" s="4">
        <v>45876</v>
      </c>
      <c r="M81" s="4">
        <v>45905</v>
      </c>
      <c r="N81" s="4">
        <v>45910</v>
      </c>
      <c r="O81" t="s">
        <v>32</v>
      </c>
      <c r="P81" s="5">
        <v>1</v>
      </c>
      <c r="Q81" s="6">
        <v>12500</v>
      </c>
      <c r="R81" s="6">
        <v>12884.93</v>
      </c>
      <c r="S81">
        <v>3</v>
      </c>
      <c r="T81">
        <f t="shared" si="2"/>
        <v>5</v>
      </c>
      <c r="U81">
        <f>IF(COUNTIFS($B$2:B81,B81,$F$2:F81,F81)=1,1,0)</f>
        <v>0</v>
      </c>
      <c r="V81" s="13">
        <f t="shared" si="3"/>
        <v>-384.93000000000029</v>
      </c>
    </row>
    <row r="82" spans="1:22">
      <c r="A82" t="s">
        <v>231</v>
      </c>
      <c r="B82" t="s">
        <v>132</v>
      </c>
      <c r="C82" t="s">
        <v>133</v>
      </c>
      <c r="D82" t="s">
        <v>82</v>
      </c>
      <c r="E82" t="s">
        <v>83</v>
      </c>
      <c r="F82" t="s">
        <v>48</v>
      </c>
      <c r="G82" t="s">
        <v>39</v>
      </c>
      <c r="H82" t="s">
        <v>207</v>
      </c>
      <c r="I82" t="s">
        <v>69</v>
      </c>
      <c r="J82" t="s">
        <v>29</v>
      </c>
      <c r="K82" t="s">
        <v>31</v>
      </c>
      <c r="L82" s="4">
        <v>45920</v>
      </c>
      <c r="M82" s="4">
        <v>45937</v>
      </c>
      <c r="N82" s="4"/>
      <c r="O82" t="s">
        <v>52</v>
      </c>
      <c r="P82" s="5">
        <v>0.4</v>
      </c>
      <c r="Q82" s="6">
        <v>24100</v>
      </c>
      <c r="R82" s="6">
        <v>27618.81</v>
      </c>
      <c r="S82">
        <v>1</v>
      </c>
      <c r="T82" t="str">
        <f t="shared" si="2"/>
        <v/>
      </c>
      <c r="U82">
        <f>IF(COUNTIFS($B$2:B82,B82,$F$2:F82,F82)=1,1,0)</f>
        <v>0</v>
      </c>
      <c r="V82" s="13">
        <f t="shared" si="3"/>
        <v>-3518.8100000000013</v>
      </c>
    </row>
    <row r="83" spans="1:22">
      <c r="A83" t="s">
        <v>232</v>
      </c>
      <c r="B83" t="s">
        <v>135</v>
      </c>
      <c r="C83" t="s">
        <v>136</v>
      </c>
      <c r="D83" t="s">
        <v>24</v>
      </c>
      <c r="E83" t="s">
        <v>25</v>
      </c>
      <c r="F83" t="s">
        <v>58</v>
      </c>
      <c r="G83" t="s">
        <v>49</v>
      </c>
      <c r="H83" t="s">
        <v>209</v>
      </c>
      <c r="I83" t="s">
        <v>29</v>
      </c>
      <c r="J83" t="s">
        <v>30</v>
      </c>
      <c r="K83" t="s">
        <v>31</v>
      </c>
      <c r="L83" s="4">
        <v>45954</v>
      </c>
      <c r="M83" s="4">
        <v>45966</v>
      </c>
      <c r="N83" s="4"/>
      <c r="O83" t="s">
        <v>52</v>
      </c>
      <c r="P83" s="5">
        <v>0.85</v>
      </c>
      <c r="Q83" s="6">
        <v>22600</v>
      </c>
      <c r="R83" s="6">
        <v>21017.7</v>
      </c>
      <c r="S83">
        <v>3</v>
      </c>
      <c r="T83" t="str">
        <f t="shared" si="2"/>
        <v/>
      </c>
      <c r="U83">
        <f>IF(COUNTIFS($B$2:B83,B83,$F$2:F83,F83)=1,1,0)</f>
        <v>0</v>
      </c>
      <c r="V83" s="13">
        <f t="shared" si="3"/>
        <v>1582.2999999999993</v>
      </c>
    </row>
    <row r="84" spans="1:22">
      <c r="A84" t="s">
        <v>233</v>
      </c>
      <c r="B84" t="s">
        <v>138</v>
      </c>
      <c r="C84" t="s">
        <v>139</v>
      </c>
      <c r="D84" t="s">
        <v>36</v>
      </c>
      <c r="E84" t="s">
        <v>37</v>
      </c>
      <c r="F84" t="s">
        <v>66</v>
      </c>
      <c r="G84" t="s">
        <v>59</v>
      </c>
      <c r="H84" t="s">
        <v>211</v>
      </c>
      <c r="I84" t="s">
        <v>69</v>
      </c>
      <c r="J84" t="s">
        <v>29</v>
      </c>
      <c r="K84" t="s">
        <v>31</v>
      </c>
      <c r="L84" s="4">
        <v>45974</v>
      </c>
      <c r="M84" s="4">
        <v>45994</v>
      </c>
      <c r="N84" s="4"/>
      <c r="O84" t="s">
        <v>52</v>
      </c>
      <c r="P84" s="5">
        <v>0.4</v>
      </c>
      <c r="Q84" s="6">
        <v>44700</v>
      </c>
      <c r="R84" s="6">
        <v>46844.87</v>
      </c>
      <c r="S84">
        <v>3</v>
      </c>
      <c r="T84" t="str">
        <f t="shared" si="2"/>
        <v/>
      </c>
      <c r="U84">
        <f>IF(COUNTIFS($B$2:B84,B84,$F$2:F84,F84)=1,1,0)</f>
        <v>0</v>
      </c>
      <c r="V84" s="13">
        <f t="shared" si="3"/>
        <v>-2144.8700000000026</v>
      </c>
    </row>
    <row r="85" spans="1:22">
      <c r="A85" t="s">
        <v>234</v>
      </c>
      <c r="B85" t="s">
        <v>141</v>
      </c>
      <c r="C85" t="s">
        <v>142</v>
      </c>
      <c r="D85" t="s">
        <v>46</v>
      </c>
      <c r="E85" t="s">
        <v>47</v>
      </c>
      <c r="F85" t="s">
        <v>75</v>
      </c>
      <c r="G85" t="s">
        <v>67</v>
      </c>
      <c r="H85" t="s">
        <v>213</v>
      </c>
      <c r="I85" t="s">
        <v>30</v>
      </c>
      <c r="J85" t="s">
        <v>29</v>
      </c>
      <c r="K85" t="s">
        <v>143</v>
      </c>
      <c r="L85" s="4">
        <v>45750</v>
      </c>
      <c r="M85" s="4">
        <v>45769</v>
      </c>
      <c r="N85" s="4">
        <v>45767</v>
      </c>
      <c r="O85" t="s">
        <v>32</v>
      </c>
      <c r="P85" s="5">
        <v>1</v>
      </c>
      <c r="Q85" s="6">
        <v>19600</v>
      </c>
      <c r="R85" s="6">
        <v>17569.25</v>
      </c>
      <c r="S85">
        <v>2</v>
      </c>
      <c r="T85">
        <f t="shared" si="2"/>
        <v>0</v>
      </c>
      <c r="U85">
        <f>IF(COUNTIFS($B$2:B85,B85,$F$2:F85,F85)=1,1,0)</f>
        <v>0</v>
      </c>
      <c r="V85" s="13">
        <f t="shared" si="3"/>
        <v>2030.75</v>
      </c>
    </row>
    <row r="86" spans="1:22">
      <c r="A86" t="s">
        <v>235</v>
      </c>
      <c r="B86" t="s">
        <v>145</v>
      </c>
      <c r="C86" t="s">
        <v>146</v>
      </c>
      <c r="D86" t="s">
        <v>56</v>
      </c>
      <c r="E86" t="s">
        <v>57</v>
      </c>
      <c r="F86" t="s">
        <v>26</v>
      </c>
      <c r="G86" t="s">
        <v>76</v>
      </c>
      <c r="H86" t="s">
        <v>215</v>
      </c>
      <c r="I86" t="s">
        <v>29</v>
      </c>
      <c r="J86" t="s">
        <v>30</v>
      </c>
      <c r="K86" t="s">
        <v>31</v>
      </c>
      <c r="L86" s="4">
        <v>46080</v>
      </c>
      <c r="M86" s="4">
        <v>46106</v>
      </c>
      <c r="N86" s="4">
        <v>46112</v>
      </c>
      <c r="O86" t="s">
        <v>32</v>
      </c>
      <c r="P86" s="5">
        <v>1</v>
      </c>
      <c r="Q86" s="6">
        <v>35900</v>
      </c>
      <c r="R86" s="6">
        <v>34223.25</v>
      </c>
      <c r="S86">
        <v>0</v>
      </c>
      <c r="T86">
        <f t="shared" si="2"/>
        <v>6</v>
      </c>
      <c r="U86">
        <f>IF(COUNTIFS($B$2:B86,B86,$F$2:F86,F86)=1,1,0)</f>
        <v>0</v>
      </c>
      <c r="V86" s="13">
        <f t="shared" si="3"/>
        <v>1676.75</v>
      </c>
    </row>
    <row r="87" spans="1:22">
      <c r="A87" t="s">
        <v>236</v>
      </c>
      <c r="B87" t="s">
        <v>148</v>
      </c>
      <c r="C87" t="s">
        <v>149</v>
      </c>
      <c r="D87" t="s">
        <v>64</v>
      </c>
      <c r="E87" t="s">
        <v>65</v>
      </c>
      <c r="F87" t="s">
        <v>38</v>
      </c>
      <c r="G87" t="s">
        <v>84</v>
      </c>
      <c r="H87" t="s">
        <v>217</v>
      </c>
      <c r="I87" t="s">
        <v>29</v>
      </c>
      <c r="J87" t="s">
        <v>29</v>
      </c>
      <c r="K87" t="s">
        <v>31</v>
      </c>
      <c r="L87" s="4">
        <v>45840</v>
      </c>
      <c r="M87" s="4">
        <v>45869</v>
      </c>
      <c r="N87" s="4">
        <v>45879</v>
      </c>
      <c r="O87" t="s">
        <v>32</v>
      </c>
      <c r="P87" s="5">
        <v>1</v>
      </c>
      <c r="Q87" s="6">
        <v>45000</v>
      </c>
      <c r="R87" s="6">
        <v>43098.22</v>
      </c>
      <c r="S87">
        <v>2</v>
      </c>
      <c r="T87">
        <f t="shared" si="2"/>
        <v>10</v>
      </c>
      <c r="U87">
        <f>IF(COUNTIFS($B$2:B87,B87,$F$2:F87,F87)=1,1,0)</f>
        <v>0</v>
      </c>
      <c r="V87" s="13">
        <f t="shared" si="3"/>
        <v>1901.7799999999988</v>
      </c>
    </row>
    <row r="88" spans="1:22">
      <c r="A88" t="s">
        <v>237</v>
      </c>
      <c r="B88" t="s">
        <v>151</v>
      </c>
      <c r="C88" t="s">
        <v>152</v>
      </c>
      <c r="D88" t="s">
        <v>73</v>
      </c>
      <c r="E88" t="s">
        <v>74</v>
      </c>
      <c r="F88" t="s">
        <v>48</v>
      </c>
      <c r="G88" t="s">
        <v>90</v>
      </c>
      <c r="H88" t="s">
        <v>219</v>
      </c>
      <c r="I88" t="s">
        <v>29</v>
      </c>
      <c r="J88" t="s">
        <v>30</v>
      </c>
      <c r="K88" t="s">
        <v>143</v>
      </c>
      <c r="L88" s="4">
        <v>46168</v>
      </c>
      <c r="M88" s="4">
        <v>46183</v>
      </c>
      <c r="N88" s="4"/>
      <c r="O88" t="s">
        <v>52</v>
      </c>
      <c r="P88" s="5">
        <v>0.5</v>
      </c>
      <c r="Q88" s="6">
        <v>39300</v>
      </c>
      <c r="R88" s="6">
        <v>43256.29</v>
      </c>
      <c r="S88">
        <v>1</v>
      </c>
      <c r="T88" t="str">
        <f t="shared" si="2"/>
        <v/>
      </c>
      <c r="U88">
        <f>IF(COUNTIFS($B$2:B88,B88,$F$2:F88,F88)=1,1,0)</f>
        <v>0</v>
      </c>
      <c r="V88" s="13">
        <f t="shared" si="3"/>
        <v>-3956.2900000000009</v>
      </c>
    </row>
    <row r="89" spans="1:22">
      <c r="A89" t="s">
        <v>238</v>
      </c>
      <c r="B89" t="s">
        <v>154</v>
      </c>
      <c r="C89" t="s">
        <v>155</v>
      </c>
      <c r="D89" t="s">
        <v>82</v>
      </c>
      <c r="E89" t="s">
        <v>83</v>
      </c>
      <c r="F89" t="s">
        <v>58</v>
      </c>
      <c r="G89" t="s">
        <v>95</v>
      </c>
      <c r="H89" t="s">
        <v>203</v>
      </c>
      <c r="I89" t="s">
        <v>29</v>
      </c>
      <c r="J89" t="s">
        <v>69</v>
      </c>
      <c r="K89" t="s">
        <v>31</v>
      </c>
      <c r="L89" s="4">
        <v>46076</v>
      </c>
      <c r="M89" s="4">
        <v>46102</v>
      </c>
      <c r="N89" s="4">
        <v>46110</v>
      </c>
      <c r="O89" t="s">
        <v>32</v>
      </c>
      <c r="P89" s="5">
        <v>1</v>
      </c>
      <c r="Q89" s="6">
        <v>44500</v>
      </c>
      <c r="R89" s="6">
        <v>45132.93</v>
      </c>
      <c r="S89">
        <v>3</v>
      </c>
      <c r="T89">
        <f t="shared" si="2"/>
        <v>8</v>
      </c>
      <c r="U89">
        <f>IF(COUNTIFS($B$2:B89,B89,$F$2:F89,F89)=1,1,0)</f>
        <v>0</v>
      </c>
      <c r="V89" s="13">
        <f t="shared" si="3"/>
        <v>-632.93000000000029</v>
      </c>
    </row>
    <row r="90" spans="1:22">
      <c r="A90" t="s">
        <v>239</v>
      </c>
      <c r="B90" t="s">
        <v>157</v>
      </c>
      <c r="C90" t="s">
        <v>158</v>
      </c>
      <c r="D90" t="s">
        <v>24</v>
      </c>
      <c r="E90" t="s">
        <v>25</v>
      </c>
      <c r="F90" t="s">
        <v>66</v>
      </c>
      <c r="G90" t="s">
        <v>27</v>
      </c>
      <c r="H90" t="s">
        <v>205</v>
      </c>
      <c r="I90" t="s">
        <v>29</v>
      </c>
      <c r="J90" t="s">
        <v>69</v>
      </c>
      <c r="K90" t="s">
        <v>31</v>
      </c>
      <c r="L90" s="4">
        <v>46106</v>
      </c>
      <c r="M90" s="4">
        <v>46136</v>
      </c>
      <c r="N90" s="4"/>
      <c r="O90" t="s">
        <v>42</v>
      </c>
      <c r="P90" s="5">
        <v>0</v>
      </c>
      <c r="Q90" s="6">
        <v>38300</v>
      </c>
      <c r="R90" s="6">
        <v>0</v>
      </c>
      <c r="S90">
        <v>5</v>
      </c>
      <c r="T90" t="str">
        <f t="shared" si="2"/>
        <v/>
      </c>
      <c r="U90">
        <f>IF(COUNTIFS($B$2:B90,B90,$F$2:F90,F90)=1,1,0)</f>
        <v>0</v>
      </c>
      <c r="V90" s="13">
        <f t="shared" si="3"/>
        <v>38300</v>
      </c>
    </row>
    <row r="91" spans="1:22">
      <c r="A91" t="s">
        <v>240</v>
      </c>
      <c r="B91" t="s">
        <v>160</v>
      </c>
      <c r="C91" t="s">
        <v>161</v>
      </c>
      <c r="D91" t="s">
        <v>36</v>
      </c>
      <c r="E91" t="s">
        <v>37</v>
      </c>
      <c r="F91" t="s">
        <v>75</v>
      </c>
      <c r="G91" t="s">
        <v>49</v>
      </c>
      <c r="H91" t="s">
        <v>209</v>
      </c>
      <c r="I91" t="s">
        <v>30</v>
      </c>
      <c r="J91" t="s">
        <v>30</v>
      </c>
      <c r="K91" t="s">
        <v>41</v>
      </c>
      <c r="L91" s="4">
        <v>45981</v>
      </c>
      <c r="M91" s="4">
        <v>45986</v>
      </c>
      <c r="N91" s="4">
        <v>45997</v>
      </c>
      <c r="O91" t="s">
        <v>32</v>
      </c>
      <c r="P91" s="5">
        <v>1</v>
      </c>
      <c r="Q91" s="6">
        <v>43700</v>
      </c>
      <c r="R91" s="6">
        <v>40673.72</v>
      </c>
      <c r="S91">
        <v>3</v>
      </c>
      <c r="T91">
        <f t="shared" si="2"/>
        <v>11</v>
      </c>
      <c r="U91">
        <f>IF(COUNTIFS($B$2:B91,B91,$F$2:F91,F91)=1,1,0)</f>
        <v>0</v>
      </c>
      <c r="V91" s="13">
        <f t="shared" si="3"/>
        <v>3026.2799999999988</v>
      </c>
    </row>
    <row r="92" spans="1:22">
      <c r="A92" t="s">
        <v>241</v>
      </c>
      <c r="B92" t="s">
        <v>22</v>
      </c>
      <c r="C92" t="s">
        <v>23</v>
      </c>
      <c r="D92" t="s">
        <v>24</v>
      </c>
      <c r="E92" t="s">
        <v>25</v>
      </c>
      <c r="F92" t="s">
        <v>26</v>
      </c>
      <c r="G92" t="s">
        <v>59</v>
      </c>
      <c r="H92" t="s">
        <v>242</v>
      </c>
      <c r="I92" t="s">
        <v>69</v>
      </c>
      <c r="J92" t="s">
        <v>69</v>
      </c>
      <c r="K92" t="s">
        <v>41</v>
      </c>
      <c r="L92" s="4">
        <v>46126</v>
      </c>
      <c r="M92" s="4">
        <v>46141</v>
      </c>
      <c r="N92" s="4"/>
      <c r="O92" t="s">
        <v>32</v>
      </c>
      <c r="P92" s="5">
        <v>0.5</v>
      </c>
      <c r="Q92" s="6">
        <v>39400</v>
      </c>
      <c r="R92" s="6">
        <v>43748.39</v>
      </c>
      <c r="S92">
        <v>3</v>
      </c>
      <c r="T92" t="str">
        <f t="shared" si="2"/>
        <v/>
      </c>
      <c r="U92">
        <f>IF(COUNTIFS($B$2:B92,B92,$F$2:F92,F92)=1,1,0)</f>
        <v>0</v>
      </c>
      <c r="V92" s="13">
        <f t="shared" si="3"/>
        <v>-4348.3899999999994</v>
      </c>
    </row>
    <row r="93" spans="1:22">
      <c r="A93" t="s">
        <v>243</v>
      </c>
      <c r="B93" t="s">
        <v>34</v>
      </c>
      <c r="C93" t="s">
        <v>35</v>
      </c>
      <c r="D93" t="s">
        <v>36</v>
      </c>
      <c r="E93" t="s">
        <v>37</v>
      </c>
      <c r="F93" t="s">
        <v>38</v>
      </c>
      <c r="G93" t="s">
        <v>67</v>
      </c>
      <c r="H93" t="s">
        <v>244</v>
      </c>
      <c r="I93" t="s">
        <v>69</v>
      </c>
      <c r="J93" t="s">
        <v>69</v>
      </c>
      <c r="K93" t="s">
        <v>178</v>
      </c>
      <c r="L93" s="4">
        <v>45743</v>
      </c>
      <c r="M93" s="4">
        <v>45759</v>
      </c>
      <c r="N93" s="4"/>
      <c r="O93" t="s">
        <v>32</v>
      </c>
      <c r="P93" s="5">
        <v>0.1</v>
      </c>
      <c r="Q93" s="6">
        <v>20800</v>
      </c>
      <c r="R93" s="6">
        <v>20551.09</v>
      </c>
      <c r="S93">
        <v>0</v>
      </c>
      <c r="T93" t="str">
        <f t="shared" si="2"/>
        <v/>
      </c>
      <c r="U93">
        <f>IF(COUNTIFS($B$2:B93,B93,$F$2:F93,F93)=1,1,0)</f>
        <v>0</v>
      </c>
      <c r="V93" s="13">
        <f t="shared" si="3"/>
        <v>248.90999999999985</v>
      </c>
    </row>
    <row r="94" spans="1:22">
      <c r="A94" t="s">
        <v>245</v>
      </c>
      <c r="B94" t="s">
        <v>44</v>
      </c>
      <c r="C94" t="s">
        <v>45</v>
      </c>
      <c r="D94" t="s">
        <v>46</v>
      </c>
      <c r="E94" t="s">
        <v>47</v>
      </c>
      <c r="F94" t="s">
        <v>48</v>
      </c>
      <c r="G94" t="s">
        <v>76</v>
      </c>
      <c r="H94" t="s">
        <v>246</v>
      </c>
      <c r="I94" t="s">
        <v>30</v>
      </c>
      <c r="J94" t="s">
        <v>29</v>
      </c>
      <c r="K94" t="s">
        <v>31</v>
      </c>
      <c r="L94" s="4">
        <v>45770</v>
      </c>
      <c r="M94" s="4">
        <v>45786</v>
      </c>
      <c r="N94" s="4"/>
      <c r="O94" t="s">
        <v>32</v>
      </c>
      <c r="P94" s="5">
        <v>0</v>
      </c>
      <c r="Q94" s="6">
        <v>24600</v>
      </c>
      <c r="R94" s="6">
        <v>0</v>
      </c>
      <c r="S94">
        <v>1</v>
      </c>
      <c r="T94" t="str">
        <f t="shared" si="2"/>
        <v/>
      </c>
      <c r="U94">
        <f>IF(COUNTIFS($B$2:B94,B94,$F$2:F94,F94)=1,1,0)</f>
        <v>0</v>
      </c>
      <c r="V94" s="13">
        <f t="shared" si="3"/>
        <v>24600</v>
      </c>
    </row>
    <row r="95" spans="1:22">
      <c r="A95" t="s">
        <v>247</v>
      </c>
      <c r="B95" t="s">
        <v>54</v>
      </c>
      <c r="C95" t="s">
        <v>55</v>
      </c>
      <c r="D95" t="s">
        <v>56</v>
      </c>
      <c r="E95" t="s">
        <v>57</v>
      </c>
      <c r="F95" t="s">
        <v>58</v>
      </c>
      <c r="G95" t="s">
        <v>84</v>
      </c>
      <c r="H95" t="s">
        <v>248</v>
      </c>
      <c r="I95" t="s">
        <v>29</v>
      </c>
      <c r="J95" t="s">
        <v>30</v>
      </c>
      <c r="K95" t="s">
        <v>41</v>
      </c>
      <c r="L95" s="4">
        <v>46103</v>
      </c>
      <c r="M95" s="4">
        <v>46121</v>
      </c>
      <c r="N95" s="4">
        <v>46128</v>
      </c>
      <c r="O95" t="s">
        <v>32</v>
      </c>
      <c r="P95" s="5">
        <v>1</v>
      </c>
      <c r="Q95" s="6">
        <v>12500</v>
      </c>
      <c r="R95" s="6">
        <v>13947.02</v>
      </c>
      <c r="S95">
        <v>1</v>
      </c>
      <c r="T95">
        <f t="shared" si="2"/>
        <v>7</v>
      </c>
      <c r="U95">
        <f>IF(COUNTIFS($B$2:B95,B95,$F$2:F95,F95)=1,1,0)</f>
        <v>0</v>
      </c>
      <c r="V95" s="13">
        <f t="shared" si="3"/>
        <v>-1447.0200000000004</v>
      </c>
    </row>
    <row r="96" spans="1:22">
      <c r="A96" t="s">
        <v>249</v>
      </c>
      <c r="B96" t="s">
        <v>62</v>
      </c>
      <c r="C96" t="s">
        <v>63</v>
      </c>
      <c r="D96" t="s">
        <v>64</v>
      </c>
      <c r="E96" t="s">
        <v>65</v>
      </c>
      <c r="F96" t="s">
        <v>66</v>
      </c>
      <c r="G96" t="s">
        <v>90</v>
      </c>
      <c r="H96" t="s">
        <v>250</v>
      </c>
      <c r="I96" t="s">
        <v>69</v>
      </c>
      <c r="J96" t="s">
        <v>69</v>
      </c>
      <c r="K96" t="s">
        <v>78</v>
      </c>
      <c r="L96" s="4">
        <v>45843</v>
      </c>
      <c r="M96" s="4">
        <v>45848</v>
      </c>
      <c r="N96" s="4"/>
      <c r="O96" t="s">
        <v>32</v>
      </c>
      <c r="P96" s="5">
        <v>0.5</v>
      </c>
      <c r="Q96" s="6">
        <v>44500</v>
      </c>
      <c r="R96" s="6">
        <v>48287.28</v>
      </c>
      <c r="S96">
        <v>2</v>
      </c>
      <c r="T96" t="str">
        <f t="shared" si="2"/>
        <v/>
      </c>
      <c r="U96">
        <f>IF(COUNTIFS($B$2:B96,B96,$F$2:F96,F96)=1,1,0)</f>
        <v>0</v>
      </c>
      <c r="V96" s="13">
        <f t="shared" si="3"/>
        <v>-3787.2799999999988</v>
      </c>
    </row>
    <row r="97" spans="1:22">
      <c r="A97" t="s">
        <v>251</v>
      </c>
      <c r="B97" t="s">
        <v>71</v>
      </c>
      <c r="C97" t="s">
        <v>72</v>
      </c>
      <c r="D97" t="s">
        <v>73</v>
      </c>
      <c r="E97" t="s">
        <v>74</v>
      </c>
      <c r="F97" t="s">
        <v>75</v>
      </c>
      <c r="G97" t="s">
        <v>95</v>
      </c>
      <c r="H97" t="s">
        <v>252</v>
      </c>
      <c r="I97" t="s">
        <v>69</v>
      </c>
      <c r="J97" t="s">
        <v>30</v>
      </c>
      <c r="K97" t="s">
        <v>31</v>
      </c>
      <c r="L97" s="4">
        <v>45886</v>
      </c>
      <c r="M97" s="4">
        <v>45916</v>
      </c>
      <c r="N97" s="4">
        <v>45935</v>
      </c>
      <c r="O97" t="s">
        <v>32</v>
      </c>
      <c r="P97" s="5">
        <v>1</v>
      </c>
      <c r="Q97" s="6">
        <v>11800</v>
      </c>
      <c r="R97" s="6">
        <v>10508.83</v>
      </c>
      <c r="S97">
        <v>0</v>
      </c>
      <c r="T97">
        <f t="shared" si="2"/>
        <v>19</v>
      </c>
      <c r="U97">
        <f>IF(COUNTIFS($B$2:B97,B97,$F$2:F97,F97)=1,1,0)</f>
        <v>0</v>
      </c>
      <c r="V97" s="13">
        <f t="shared" si="3"/>
        <v>1291.17</v>
      </c>
    </row>
    <row r="98" spans="1:22">
      <c r="A98" t="s">
        <v>253</v>
      </c>
      <c r="B98" t="s">
        <v>80</v>
      </c>
      <c r="C98" t="s">
        <v>81</v>
      </c>
      <c r="D98" t="s">
        <v>82</v>
      </c>
      <c r="E98" t="s">
        <v>83</v>
      </c>
      <c r="F98" t="s">
        <v>26</v>
      </c>
      <c r="G98" t="s">
        <v>27</v>
      </c>
      <c r="H98" t="s">
        <v>254</v>
      </c>
      <c r="I98" t="s">
        <v>86</v>
      </c>
      <c r="J98" t="s">
        <v>30</v>
      </c>
      <c r="K98" t="s">
        <v>178</v>
      </c>
      <c r="L98" s="4">
        <v>45878</v>
      </c>
      <c r="M98" s="4">
        <v>45889</v>
      </c>
      <c r="N98" s="4"/>
      <c r="O98" t="s">
        <v>32</v>
      </c>
      <c r="P98" s="5">
        <v>0</v>
      </c>
      <c r="Q98" s="6">
        <v>39100</v>
      </c>
      <c r="R98" s="6">
        <v>0</v>
      </c>
      <c r="S98">
        <v>0</v>
      </c>
      <c r="T98" t="str">
        <f t="shared" si="2"/>
        <v/>
      </c>
      <c r="U98">
        <f>IF(COUNTIFS($B$2:B98,B98,$F$2:F98,F98)=1,1,0)</f>
        <v>0</v>
      </c>
      <c r="V98" s="13">
        <f t="shared" si="3"/>
        <v>39100</v>
      </c>
    </row>
    <row r="99" spans="1:22">
      <c r="A99" t="s">
        <v>255</v>
      </c>
      <c r="B99" t="s">
        <v>88</v>
      </c>
      <c r="C99" t="s">
        <v>89</v>
      </c>
      <c r="D99" t="s">
        <v>24</v>
      </c>
      <c r="E99" t="s">
        <v>25</v>
      </c>
      <c r="F99" t="s">
        <v>38</v>
      </c>
      <c r="G99" t="s">
        <v>39</v>
      </c>
      <c r="H99" t="s">
        <v>256</v>
      </c>
      <c r="I99" t="s">
        <v>86</v>
      </c>
      <c r="J99" t="s">
        <v>29</v>
      </c>
      <c r="K99" t="s">
        <v>41</v>
      </c>
      <c r="L99" s="4">
        <v>45807</v>
      </c>
      <c r="M99" s="4">
        <v>45834</v>
      </c>
      <c r="N99" s="4">
        <v>45831</v>
      </c>
      <c r="O99" t="s">
        <v>32</v>
      </c>
      <c r="P99" s="5">
        <v>1</v>
      </c>
      <c r="Q99" s="6">
        <v>29200</v>
      </c>
      <c r="R99" s="6">
        <v>27918.57</v>
      </c>
      <c r="S99">
        <v>0</v>
      </c>
      <c r="T99">
        <f t="shared" si="2"/>
        <v>0</v>
      </c>
      <c r="U99">
        <f>IF(COUNTIFS($B$2:B99,B99,$F$2:F99,F99)=1,1,0)</f>
        <v>0</v>
      </c>
      <c r="V99" s="13">
        <f t="shared" si="3"/>
        <v>1281.4300000000003</v>
      </c>
    </row>
    <row r="100" spans="1:22">
      <c r="A100" t="s">
        <v>257</v>
      </c>
      <c r="B100" t="s">
        <v>93</v>
      </c>
      <c r="C100" t="s">
        <v>94</v>
      </c>
      <c r="D100" t="s">
        <v>36</v>
      </c>
      <c r="E100" t="s">
        <v>37</v>
      </c>
      <c r="F100" t="s">
        <v>48</v>
      </c>
      <c r="G100" t="s">
        <v>49</v>
      </c>
      <c r="H100" t="s">
        <v>258</v>
      </c>
      <c r="I100" t="s">
        <v>69</v>
      </c>
      <c r="J100" t="s">
        <v>29</v>
      </c>
      <c r="K100" t="s">
        <v>41</v>
      </c>
      <c r="L100" s="4">
        <v>46064</v>
      </c>
      <c r="M100" s="4">
        <v>46087</v>
      </c>
      <c r="N100" s="4">
        <v>46082</v>
      </c>
      <c r="O100" t="s">
        <v>32</v>
      </c>
      <c r="P100" s="5">
        <v>1</v>
      </c>
      <c r="Q100" s="6">
        <v>14900</v>
      </c>
      <c r="R100" s="6">
        <v>13187.82</v>
      </c>
      <c r="S100">
        <v>2</v>
      </c>
      <c r="T100">
        <f t="shared" si="2"/>
        <v>0</v>
      </c>
      <c r="U100">
        <f>IF(COUNTIFS($B$2:B100,B100,$F$2:F100,F100)=1,1,0)</f>
        <v>0</v>
      </c>
      <c r="V100" s="13">
        <f t="shared" si="3"/>
        <v>1712.1800000000003</v>
      </c>
    </row>
    <row r="101" spans="1:22">
      <c r="A101" t="s">
        <v>259</v>
      </c>
      <c r="B101" t="s">
        <v>98</v>
      </c>
      <c r="C101" t="s">
        <v>99</v>
      </c>
      <c r="D101" t="s">
        <v>46</v>
      </c>
      <c r="E101" t="s">
        <v>47</v>
      </c>
      <c r="F101" t="s">
        <v>58</v>
      </c>
      <c r="G101" t="s">
        <v>59</v>
      </c>
      <c r="H101" t="s">
        <v>242</v>
      </c>
      <c r="I101" t="s">
        <v>69</v>
      </c>
      <c r="J101" t="s">
        <v>30</v>
      </c>
      <c r="K101" t="s">
        <v>31</v>
      </c>
      <c r="L101" s="4">
        <v>45821</v>
      </c>
      <c r="M101" s="4">
        <v>45829</v>
      </c>
      <c r="N101" s="4"/>
      <c r="O101" t="s">
        <v>52</v>
      </c>
      <c r="P101" s="5">
        <v>0.9</v>
      </c>
      <c r="Q101" s="6">
        <v>25000</v>
      </c>
      <c r="R101" s="6">
        <v>28829.23</v>
      </c>
      <c r="S101">
        <v>1</v>
      </c>
      <c r="T101" t="str">
        <f t="shared" si="2"/>
        <v/>
      </c>
      <c r="U101">
        <f>IF(COUNTIFS($B$2:B101,B101,$F$2:F101,F101)=1,1,0)</f>
        <v>0</v>
      </c>
      <c r="V101" s="13">
        <f t="shared" si="3"/>
        <v>-3829.2299999999996</v>
      </c>
    </row>
    <row r="102" spans="1:22">
      <c r="A102" t="s">
        <v>260</v>
      </c>
      <c r="B102" t="s">
        <v>101</v>
      </c>
      <c r="C102" t="s">
        <v>102</v>
      </c>
      <c r="D102" t="s">
        <v>56</v>
      </c>
      <c r="E102" t="s">
        <v>57</v>
      </c>
      <c r="F102" t="s">
        <v>66</v>
      </c>
      <c r="G102" t="s">
        <v>67</v>
      </c>
      <c r="H102" t="s">
        <v>244</v>
      </c>
      <c r="I102" t="s">
        <v>86</v>
      </c>
      <c r="J102" t="s">
        <v>29</v>
      </c>
      <c r="K102" t="s">
        <v>31</v>
      </c>
      <c r="L102" s="4">
        <v>46132</v>
      </c>
      <c r="M102" s="4">
        <v>46160</v>
      </c>
      <c r="N102" s="4"/>
      <c r="O102" t="s">
        <v>52</v>
      </c>
      <c r="P102" s="5">
        <v>0.9</v>
      </c>
      <c r="Q102" s="6">
        <v>16200</v>
      </c>
      <c r="R102" s="6">
        <v>19951.669999999998</v>
      </c>
      <c r="S102">
        <v>4</v>
      </c>
      <c r="T102" t="str">
        <f t="shared" si="2"/>
        <v/>
      </c>
      <c r="U102">
        <f>IF(COUNTIFS($B$2:B102,B102,$F$2:F102,F102)=1,1,0)</f>
        <v>0</v>
      </c>
      <c r="V102" s="13">
        <f t="shared" si="3"/>
        <v>-3751.6699999999983</v>
      </c>
    </row>
    <row r="103" spans="1:22">
      <c r="A103" t="s">
        <v>261</v>
      </c>
      <c r="B103" t="s">
        <v>104</v>
      </c>
      <c r="C103" t="s">
        <v>105</v>
      </c>
      <c r="D103" t="s">
        <v>64</v>
      </c>
      <c r="E103" t="s">
        <v>65</v>
      </c>
      <c r="F103" t="s">
        <v>75</v>
      </c>
      <c r="G103" t="s">
        <v>76</v>
      </c>
      <c r="H103" t="s">
        <v>246</v>
      </c>
      <c r="I103" t="s">
        <v>29</v>
      </c>
      <c r="J103" t="s">
        <v>69</v>
      </c>
      <c r="K103" t="s">
        <v>41</v>
      </c>
      <c r="L103" s="4">
        <v>46143</v>
      </c>
      <c r="M103" s="4">
        <v>46173</v>
      </c>
      <c r="N103" s="4">
        <v>46167</v>
      </c>
      <c r="O103" t="s">
        <v>32</v>
      </c>
      <c r="P103" s="5">
        <v>1</v>
      </c>
      <c r="Q103" s="6">
        <v>2100</v>
      </c>
      <c r="R103" s="6">
        <v>2552.13</v>
      </c>
      <c r="S103">
        <v>2</v>
      </c>
      <c r="T103">
        <f t="shared" si="2"/>
        <v>0</v>
      </c>
      <c r="U103">
        <f>IF(COUNTIFS($B$2:B103,B103,$F$2:F103,F103)=1,1,0)</f>
        <v>0</v>
      </c>
      <c r="V103" s="13">
        <f t="shared" si="3"/>
        <v>-452.13000000000011</v>
      </c>
    </row>
    <row r="104" spans="1:22">
      <c r="A104" t="s">
        <v>262</v>
      </c>
      <c r="B104" t="s">
        <v>107</v>
      </c>
      <c r="C104" t="s">
        <v>108</v>
      </c>
      <c r="D104" t="s">
        <v>73</v>
      </c>
      <c r="E104" t="s">
        <v>74</v>
      </c>
      <c r="F104" t="s">
        <v>26</v>
      </c>
      <c r="G104" t="s">
        <v>84</v>
      </c>
      <c r="H104" t="s">
        <v>248</v>
      </c>
      <c r="I104" t="s">
        <v>69</v>
      </c>
      <c r="J104" t="s">
        <v>29</v>
      </c>
      <c r="K104" t="s">
        <v>51</v>
      </c>
      <c r="L104" s="4">
        <v>46037</v>
      </c>
      <c r="M104" s="4">
        <v>46043</v>
      </c>
      <c r="N104" s="4">
        <v>46043</v>
      </c>
      <c r="O104" t="s">
        <v>32</v>
      </c>
      <c r="P104" s="5">
        <v>1</v>
      </c>
      <c r="Q104" s="6">
        <v>22000</v>
      </c>
      <c r="R104" s="6">
        <v>18203.939999999999</v>
      </c>
      <c r="S104">
        <v>0</v>
      </c>
      <c r="T104">
        <f t="shared" si="2"/>
        <v>0</v>
      </c>
      <c r="U104">
        <f>IF(COUNTIFS($B$2:B104,B104,$F$2:F104,F104)=1,1,0)</f>
        <v>0</v>
      </c>
      <c r="V104" s="13">
        <f t="shared" si="3"/>
        <v>3796.0600000000013</v>
      </c>
    </row>
    <row r="105" spans="1:22">
      <c r="A105" t="s">
        <v>263</v>
      </c>
      <c r="B105" t="s">
        <v>111</v>
      </c>
      <c r="C105" t="s">
        <v>112</v>
      </c>
      <c r="D105" t="s">
        <v>82</v>
      </c>
      <c r="E105" t="s">
        <v>83</v>
      </c>
      <c r="F105" t="s">
        <v>38</v>
      </c>
      <c r="G105" t="s">
        <v>90</v>
      </c>
      <c r="H105" t="s">
        <v>250</v>
      </c>
      <c r="I105" t="s">
        <v>29</v>
      </c>
      <c r="J105" t="s">
        <v>29</v>
      </c>
      <c r="K105" t="s">
        <v>51</v>
      </c>
      <c r="L105" s="4">
        <v>45825</v>
      </c>
      <c r="M105" s="4">
        <v>45850</v>
      </c>
      <c r="N105" s="4"/>
      <c r="O105" t="s">
        <v>52</v>
      </c>
      <c r="P105" s="5">
        <v>0.6</v>
      </c>
      <c r="Q105" s="6">
        <v>6600</v>
      </c>
      <c r="R105" s="6">
        <v>6923.88</v>
      </c>
      <c r="S105">
        <v>2</v>
      </c>
      <c r="T105" t="str">
        <f t="shared" si="2"/>
        <v/>
      </c>
      <c r="U105">
        <f>IF(COUNTIFS($B$2:B105,B105,$F$2:F105,F105)=1,1,0)</f>
        <v>0</v>
      </c>
      <c r="V105" s="13">
        <f t="shared" si="3"/>
        <v>-323.88000000000011</v>
      </c>
    </row>
    <row r="106" spans="1:22">
      <c r="A106" t="s">
        <v>264</v>
      </c>
      <c r="B106" t="s">
        <v>114</v>
      </c>
      <c r="C106" t="s">
        <v>115</v>
      </c>
      <c r="D106" t="s">
        <v>24</v>
      </c>
      <c r="E106" t="s">
        <v>25</v>
      </c>
      <c r="F106" t="s">
        <v>48</v>
      </c>
      <c r="G106" t="s">
        <v>95</v>
      </c>
      <c r="H106" t="s">
        <v>252</v>
      </c>
      <c r="I106" t="s">
        <v>86</v>
      </c>
      <c r="J106" t="s">
        <v>30</v>
      </c>
      <c r="K106" t="s">
        <v>31</v>
      </c>
      <c r="L106" s="4">
        <v>46102</v>
      </c>
      <c r="M106" s="4">
        <v>46109</v>
      </c>
      <c r="N106" s="4"/>
      <c r="O106" t="s">
        <v>52</v>
      </c>
      <c r="P106" s="5">
        <v>0.5</v>
      </c>
      <c r="Q106" s="6">
        <v>30700</v>
      </c>
      <c r="R106" s="6">
        <v>30962.46</v>
      </c>
      <c r="S106">
        <v>0</v>
      </c>
      <c r="T106" t="str">
        <f t="shared" si="2"/>
        <v/>
      </c>
      <c r="U106">
        <f>IF(COUNTIFS($B$2:B106,B106,$F$2:F106,F106)=1,1,0)</f>
        <v>0</v>
      </c>
      <c r="V106" s="13">
        <f t="shared" si="3"/>
        <v>-262.45999999999913</v>
      </c>
    </row>
    <row r="107" spans="1:22">
      <c r="A107" t="s">
        <v>265</v>
      </c>
      <c r="B107" t="s">
        <v>117</v>
      </c>
      <c r="C107" t="s">
        <v>118</v>
      </c>
      <c r="D107" t="s">
        <v>36</v>
      </c>
      <c r="E107" t="s">
        <v>37</v>
      </c>
      <c r="F107" t="s">
        <v>58</v>
      </c>
      <c r="G107" t="s">
        <v>27</v>
      </c>
      <c r="H107" t="s">
        <v>254</v>
      </c>
      <c r="I107" t="s">
        <v>29</v>
      </c>
      <c r="J107" t="s">
        <v>29</v>
      </c>
      <c r="K107" t="s">
        <v>31</v>
      </c>
      <c r="L107" s="4">
        <v>45985</v>
      </c>
      <c r="M107" s="4">
        <v>46008</v>
      </c>
      <c r="N107" s="4"/>
      <c r="O107" t="s">
        <v>42</v>
      </c>
      <c r="P107" s="5">
        <v>0</v>
      </c>
      <c r="Q107" s="6">
        <v>22800</v>
      </c>
      <c r="R107" s="6">
        <v>0</v>
      </c>
      <c r="S107">
        <v>3</v>
      </c>
      <c r="T107" t="str">
        <f t="shared" si="2"/>
        <v/>
      </c>
      <c r="U107">
        <f>IF(COUNTIFS($B$2:B107,B107,$F$2:F107,F107)=1,1,0)</f>
        <v>0</v>
      </c>
      <c r="V107" s="13">
        <f t="shared" si="3"/>
        <v>22800</v>
      </c>
    </row>
    <row r="108" spans="1:22">
      <c r="A108" t="s">
        <v>266</v>
      </c>
      <c r="B108" t="s">
        <v>120</v>
      </c>
      <c r="C108" t="s">
        <v>121</v>
      </c>
      <c r="D108" t="s">
        <v>46</v>
      </c>
      <c r="E108" t="s">
        <v>47</v>
      </c>
      <c r="F108" t="s">
        <v>66</v>
      </c>
      <c r="G108" t="s">
        <v>39</v>
      </c>
      <c r="H108" t="s">
        <v>256</v>
      </c>
      <c r="I108" t="s">
        <v>30</v>
      </c>
      <c r="J108" t="s">
        <v>30</v>
      </c>
      <c r="K108" t="s">
        <v>31</v>
      </c>
      <c r="L108" s="4">
        <v>45739</v>
      </c>
      <c r="M108" s="4">
        <v>45769</v>
      </c>
      <c r="N108" s="4"/>
      <c r="O108" t="s">
        <v>52</v>
      </c>
      <c r="P108" s="5">
        <v>0.85</v>
      </c>
      <c r="Q108" s="6">
        <v>17500</v>
      </c>
      <c r="R108" s="6">
        <v>20108.03</v>
      </c>
      <c r="S108">
        <v>0</v>
      </c>
      <c r="T108" t="str">
        <f t="shared" si="2"/>
        <v/>
      </c>
      <c r="U108">
        <f>IF(COUNTIFS($B$2:B108,B108,$F$2:F108,F108)=1,1,0)</f>
        <v>0</v>
      </c>
      <c r="V108" s="13">
        <f t="shared" si="3"/>
        <v>-2608.0299999999988</v>
      </c>
    </row>
    <row r="109" spans="1:22">
      <c r="A109" t="s">
        <v>267</v>
      </c>
      <c r="B109" t="s">
        <v>123</v>
      </c>
      <c r="C109" t="s">
        <v>124</v>
      </c>
      <c r="D109" t="s">
        <v>56</v>
      </c>
      <c r="E109" t="s">
        <v>57</v>
      </c>
      <c r="F109" t="s">
        <v>75</v>
      </c>
      <c r="G109" t="s">
        <v>49</v>
      </c>
      <c r="H109" t="s">
        <v>258</v>
      </c>
      <c r="I109" t="s">
        <v>30</v>
      </c>
      <c r="J109" t="s">
        <v>30</v>
      </c>
      <c r="K109" t="s">
        <v>178</v>
      </c>
      <c r="L109" s="4">
        <v>45794</v>
      </c>
      <c r="M109" s="4">
        <v>45799</v>
      </c>
      <c r="N109" s="4">
        <v>45795</v>
      </c>
      <c r="O109" t="s">
        <v>32</v>
      </c>
      <c r="P109" s="5">
        <v>1</v>
      </c>
      <c r="Q109" s="6">
        <v>2400</v>
      </c>
      <c r="R109" s="6">
        <v>2171.29</v>
      </c>
      <c r="S109">
        <v>1</v>
      </c>
      <c r="T109">
        <f t="shared" si="2"/>
        <v>0</v>
      </c>
      <c r="U109">
        <f>IF(COUNTIFS($B$2:B109,B109,$F$2:F109,F109)=1,1,0)</f>
        <v>0</v>
      </c>
      <c r="V109" s="13">
        <f t="shared" si="3"/>
        <v>228.71000000000004</v>
      </c>
    </row>
    <row r="110" spans="1:22">
      <c r="A110" t="s">
        <v>268</v>
      </c>
      <c r="B110" t="s">
        <v>126</v>
      </c>
      <c r="C110" t="s">
        <v>127</v>
      </c>
      <c r="D110" t="s">
        <v>64</v>
      </c>
      <c r="E110" t="s">
        <v>65</v>
      </c>
      <c r="F110" t="s">
        <v>26</v>
      </c>
      <c r="G110" t="s">
        <v>59</v>
      </c>
      <c r="H110" t="s">
        <v>242</v>
      </c>
      <c r="I110" t="s">
        <v>29</v>
      </c>
      <c r="J110" t="s">
        <v>29</v>
      </c>
      <c r="K110" t="s">
        <v>31</v>
      </c>
      <c r="L110" s="4">
        <v>45851</v>
      </c>
      <c r="M110" s="4">
        <v>45860</v>
      </c>
      <c r="N110" s="4">
        <v>45857</v>
      </c>
      <c r="O110" t="s">
        <v>32</v>
      </c>
      <c r="P110" s="5">
        <v>1</v>
      </c>
      <c r="Q110" s="6">
        <v>36900</v>
      </c>
      <c r="R110" s="6">
        <v>38384.79</v>
      </c>
      <c r="S110">
        <v>4</v>
      </c>
      <c r="T110">
        <f t="shared" si="2"/>
        <v>0</v>
      </c>
      <c r="U110">
        <f>IF(COUNTIFS($B$2:B110,B110,$F$2:F110,F110)=1,1,0)</f>
        <v>0</v>
      </c>
      <c r="V110" s="13">
        <f t="shared" si="3"/>
        <v>-1484.7900000000009</v>
      </c>
    </row>
    <row r="111" spans="1:22">
      <c r="A111" t="s">
        <v>269</v>
      </c>
      <c r="B111" t="s">
        <v>129</v>
      </c>
      <c r="C111" t="s">
        <v>130</v>
      </c>
      <c r="D111" t="s">
        <v>73</v>
      </c>
      <c r="E111" t="s">
        <v>74</v>
      </c>
      <c r="F111" t="s">
        <v>38</v>
      </c>
      <c r="G111" t="s">
        <v>67</v>
      </c>
      <c r="H111" t="s">
        <v>244</v>
      </c>
      <c r="I111" t="s">
        <v>69</v>
      </c>
      <c r="J111" t="s">
        <v>29</v>
      </c>
      <c r="K111" t="s">
        <v>31</v>
      </c>
      <c r="L111" s="4">
        <v>45811</v>
      </c>
      <c r="M111" s="4">
        <v>45818</v>
      </c>
      <c r="N111" s="4">
        <v>45821</v>
      </c>
      <c r="O111" t="s">
        <v>32</v>
      </c>
      <c r="P111" s="5">
        <v>1</v>
      </c>
      <c r="Q111" s="6">
        <v>39200</v>
      </c>
      <c r="R111" s="6">
        <v>37998.959999999999</v>
      </c>
      <c r="S111">
        <v>3</v>
      </c>
      <c r="T111">
        <f t="shared" si="2"/>
        <v>3</v>
      </c>
      <c r="U111">
        <f>IF(COUNTIFS($B$2:B111,B111,$F$2:F111,F111)=1,1,0)</f>
        <v>0</v>
      </c>
      <c r="V111" s="13">
        <f t="shared" si="3"/>
        <v>1201.0400000000009</v>
      </c>
    </row>
    <row r="112" spans="1:22">
      <c r="A112" t="s">
        <v>270</v>
      </c>
      <c r="B112" t="s">
        <v>132</v>
      </c>
      <c r="C112" t="s">
        <v>133</v>
      </c>
      <c r="D112" t="s">
        <v>82</v>
      </c>
      <c r="E112" t="s">
        <v>83</v>
      </c>
      <c r="F112" t="s">
        <v>48</v>
      </c>
      <c r="G112" t="s">
        <v>76</v>
      </c>
      <c r="H112" t="s">
        <v>246</v>
      </c>
      <c r="I112" t="s">
        <v>69</v>
      </c>
      <c r="J112" t="s">
        <v>29</v>
      </c>
      <c r="K112" t="s">
        <v>31</v>
      </c>
      <c r="L112" s="4">
        <v>45849</v>
      </c>
      <c r="M112" s="4">
        <v>45853</v>
      </c>
      <c r="N112" s="4"/>
      <c r="O112" t="s">
        <v>42</v>
      </c>
      <c r="P112" s="5">
        <v>0</v>
      </c>
      <c r="Q112" s="6">
        <v>19800</v>
      </c>
      <c r="R112" s="6">
        <v>0</v>
      </c>
      <c r="S112">
        <v>2</v>
      </c>
      <c r="T112" t="str">
        <f t="shared" si="2"/>
        <v/>
      </c>
      <c r="U112">
        <f>IF(COUNTIFS($B$2:B112,B112,$F$2:F112,F112)=1,1,0)</f>
        <v>0</v>
      </c>
      <c r="V112" s="13">
        <f t="shared" si="3"/>
        <v>19800</v>
      </c>
    </row>
    <row r="113" spans="1:22">
      <c r="A113" t="s">
        <v>271</v>
      </c>
      <c r="B113" t="s">
        <v>135</v>
      </c>
      <c r="C113" t="s">
        <v>136</v>
      </c>
      <c r="D113" t="s">
        <v>24</v>
      </c>
      <c r="E113" t="s">
        <v>25</v>
      </c>
      <c r="F113" t="s">
        <v>58</v>
      </c>
      <c r="G113" t="s">
        <v>84</v>
      </c>
      <c r="H113" t="s">
        <v>248</v>
      </c>
      <c r="I113" t="s">
        <v>29</v>
      </c>
      <c r="J113" t="s">
        <v>30</v>
      </c>
      <c r="K113" t="s">
        <v>51</v>
      </c>
      <c r="L113" s="4">
        <v>46036</v>
      </c>
      <c r="M113" s="4">
        <v>46055</v>
      </c>
      <c r="N113" s="4"/>
      <c r="O113" t="s">
        <v>52</v>
      </c>
      <c r="P113" s="5">
        <v>0.75</v>
      </c>
      <c r="Q113" s="6">
        <v>3400</v>
      </c>
      <c r="R113" s="6">
        <v>3556.77</v>
      </c>
      <c r="S113">
        <v>2</v>
      </c>
      <c r="T113" t="str">
        <f t="shared" si="2"/>
        <v/>
      </c>
      <c r="U113">
        <f>IF(COUNTIFS($B$2:B113,B113,$F$2:F113,F113)=1,1,0)</f>
        <v>0</v>
      </c>
      <c r="V113" s="13">
        <f t="shared" si="3"/>
        <v>-156.76999999999998</v>
      </c>
    </row>
    <row r="114" spans="1:22">
      <c r="A114" t="s">
        <v>272</v>
      </c>
      <c r="B114" t="s">
        <v>138</v>
      </c>
      <c r="C114" t="s">
        <v>139</v>
      </c>
      <c r="D114" t="s">
        <v>36</v>
      </c>
      <c r="E114" t="s">
        <v>37</v>
      </c>
      <c r="F114" t="s">
        <v>66</v>
      </c>
      <c r="G114" t="s">
        <v>90</v>
      </c>
      <c r="H114" t="s">
        <v>250</v>
      </c>
      <c r="I114" t="s">
        <v>29</v>
      </c>
      <c r="J114" t="s">
        <v>30</v>
      </c>
      <c r="K114" t="s">
        <v>178</v>
      </c>
      <c r="L114" s="4">
        <v>45986</v>
      </c>
      <c r="M114" s="4">
        <v>46004</v>
      </c>
      <c r="N114" s="4">
        <v>45992</v>
      </c>
      <c r="O114" t="s">
        <v>32</v>
      </c>
      <c r="P114" s="5">
        <v>1</v>
      </c>
      <c r="Q114" s="6">
        <v>20000</v>
      </c>
      <c r="R114" s="6">
        <v>23104.28</v>
      </c>
      <c r="S114">
        <v>2</v>
      </c>
      <c r="T114">
        <f t="shared" si="2"/>
        <v>0</v>
      </c>
      <c r="U114">
        <f>IF(COUNTIFS($B$2:B114,B114,$F$2:F114,F114)=1,1,0)</f>
        <v>0</v>
      </c>
      <c r="V114" s="13">
        <f t="shared" si="3"/>
        <v>-3104.2799999999988</v>
      </c>
    </row>
    <row r="115" spans="1:22">
      <c r="A115" t="s">
        <v>273</v>
      </c>
      <c r="B115" t="s">
        <v>141</v>
      </c>
      <c r="C115" t="s">
        <v>142</v>
      </c>
      <c r="D115" t="s">
        <v>46</v>
      </c>
      <c r="E115" t="s">
        <v>47</v>
      </c>
      <c r="F115" t="s">
        <v>75</v>
      </c>
      <c r="G115" t="s">
        <v>95</v>
      </c>
      <c r="H115" t="s">
        <v>252</v>
      </c>
      <c r="I115" t="s">
        <v>29</v>
      </c>
      <c r="J115" t="s">
        <v>69</v>
      </c>
      <c r="K115" t="s">
        <v>31</v>
      </c>
      <c r="L115" s="4">
        <v>45713</v>
      </c>
      <c r="M115" s="4">
        <v>45718</v>
      </c>
      <c r="N115" s="4"/>
      <c r="O115" t="s">
        <v>42</v>
      </c>
      <c r="P115" s="5">
        <v>0</v>
      </c>
      <c r="Q115" s="6">
        <v>28700</v>
      </c>
      <c r="R115" s="6">
        <v>0</v>
      </c>
      <c r="S115">
        <v>2</v>
      </c>
      <c r="T115" t="str">
        <f t="shared" si="2"/>
        <v/>
      </c>
      <c r="U115">
        <f>IF(COUNTIFS($B$2:B115,B115,$F$2:F115,F115)=1,1,0)</f>
        <v>0</v>
      </c>
      <c r="V115" s="13">
        <f t="shared" si="3"/>
        <v>28700</v>
      </c>
    </row>
    <row r="116" spans="1:22">
      <c r="A116" t="s">
        <v>274</v>
      </c>
      <c r="B116" t="s">
        <v>145</v>
      </c>
      <c r="C116" t="s">
        <v>146</v>
      </c>
      <c r="D116" t="s">
        <v>56</v>
      </c>
      <c r="E116" t="s">
        <v>57</v>
      </c>
      <c r="F116" t="s">
        <v>26</v>
      </c>
      <c r="G116" t="s">
        <v>27</v>
      </c>
      <c r="H116" t="s">
        <v>254</v>
      </c>
      <c r="I116" t="s">
        <v>29</v>
      </c>
      <c r="J116" t="s">
        <v>29</v>
      </c>
      <c r="K116" t="s">
        <v>31</v>
      </c>
      <c r="L116" s="4">
        <v>46079</v>
      </c>
      <c r="M116" s="4">
        <v>46101</v>
      </c>
      <c r="N116" s="4"/>
      <c r="O116" t="s">
        <v>52</v>
      </c>
      <c r="P116" s="5">
        <v>0.9</v>
      </c>
      <c r="Q116" s="6">
        <v>32000</v>
      </c>
      <c r="R116" s="6">
        <v>35713.79</v>
      </c>
      <c r="S116">
        <v>0</v>
      </c>
      <c r="T116" t="str">
        <f t="shared" si="2"/>
        <v/>
      </c>
      <c r="U116">
        <f>IF(COUNTIFS($B$2:B116,B116,$F$2:F116,F116)=1,1,0)</f>
        <v>0</v>
      </c>
      <c r="V116" s="13">
        <f t="shared" si="3"/>
        <v>-3713.7900000000009</v>
      </c>
    </row>
    <row r="117" spans="1:22">
      <c r="A117" t="s">
        <v>275</v>
      </c>
      <c r="B117" t="s">
        <v>148</v>
      </c>
      <c r="C117" t="s">
        <v>149</v>
      </c>
      <c r="D117" t="s">
        <v>64</v>
      </c>
      <c r="E117" t="s">
        <v>65</v>
      </c>
      <c r="F117" t="s">
        <v>38</v>
      </c>
      <c r="G117" t="s">
        <v>39</v>
      </c>
      <c r="H117" t="s">
        <v>256</v>
      </c>
      <c r="I117" t="s">
        <v>69</v>
      </c>
      <c r="J117" t="s">
        <v>29</v>
      </c>
      <c r="K117" t="s">
        <v>31</v>
      </c>
      <c r="L117" s="4">
        <v>45879</v>
      </c>
      <c r="M117" s="4">
        <v>45889</v>
      </c>
      <c r="N117" s="4"/>
      <c r="O117" t="s">
        <v>52</v>
      </c>
      <c r="P117" s="5">
        <v>0.9</v>
      </c>
      <c r="Q117" s="6">
        <v>21200</v>
      </c>
      <c r="R117" s="6">
        <v>20723.43</v>
      </c>
      <c r="S117">
        <v>2</v>
      </c>
      <c r="T117" t="str">
        <f t="shared" si="2"/>
        <v/>
      </c>
      <c r="U117">
        <f>IF(COUNTIFS($B$2:B117,B117,$F$2:F117,F117)=1,1,0)</f>
        <v>0</v>
      </c>
      <c r="V117" s="13">
        <f t="shared" si="3"/>
        <v>476.56999999999971</v>
      </c>
    </row>
    <row r="118" spans="1:22">
      <c r="A118" t="s">
        <v>276</v>
      </c>
      <c r="B118" t="s">
        <v>151</v>
      </c>
      <c r="C118" t="s">
        <v>152</v>
      </c>
      <c r="D118" t="s">
        <v>73</v>
      </c>
      <c r="E118" t="s">
        <v>74</v>
      </c>
      <c r="F118" t="s">
        <v>48</v>
      </c>
      <c r="G118" t="s">
        <v>49</v>
      </c>
      <c r="H118" t="s">
        <v>258</v>
      </c>
      <c r="I118" t="s">
        <v>29</v>
      </c>
      <c r="J118" t="s">
        <v>29</v>
      </c>
      <c r="K118" t="s">
        <v>31</v>
      </c>
      <c r="L118" s="4">
        <v>46068</v>
      </c>
      <c r="M118" s="4">
        <v>46092</v>
      </c>
      <c r="N118" s="4">
        <v>46106</v>
      </c>
      <c r="O118" t="s">
        <v>32</v>
      </c>
      <c r="P118" s="5">
        <v>1</v>
      </c>
      <c r="Q118" s="6">
        <v>5600</v>
      </c>
      <c r="R118" s="6">
        <v>6188.17</v>
      </c>
      <c r="S118">
        <v>3</v>
      </c>
      <c r="T118">
        <f t="shared" si="2"/>
        <v>14</v>
      </c>
      <c r="U118">
        <f>IF(COUNTIFS($B$2:B118,B118,$F$2:F118,F118)=1,1,0)</f>
        <v>0</v>
      </c>
      <c r="V118" s="13">
        <f t="shared" si="3"/>
        <v>-588.17000000000007</v>
      </c>
    </row>
    <row r="119" spans="1:22">
      <c r="A119" t="s">
        <v>277</v>
      </c>
      <c r="B119" t="s">
        <v>154</v>
      </c>
      <c r="C119" t="s">
        <v>155</v>
      </c>
      <c r="D119" t="s">
        <v>82</v>
      </c>
      <c r="E119" t="s">
        <v>83</v>
      </c>
      <c r="F119" t="s">
        <v>58</v>
      </c>
      <c r="G119" t="s">
        <v>59</v>
      </c>
      <c r="H119" t="s">
        <v>242</v>
      </c>
      <c r="I119" t="s">
        <v>69</v>
      </c>
      <c r="J119" t="s">
        <v>29</v>
      </c>
      <c r="K119" t="s">
        <v>51</v>
      </c>
      <c r="L119" s="4">
        <v>46138</v>
      </c>
      <c r="M119" s="4">
        <v>46158</v>
      </c>
      <c r="N119" s="4"/>
      <c r="O119" t="s">
        <v>52</v>
      </c>
      <c r="P119" s="5">
        <v>0.25</v>
      </c>
      <c r="Q119" s="6">
        <v>19400</v>
      </c>
      <c r="R119" s="6">
        <v>21781.77</v>
      </c>
      <c r="S119">
        <v>4</v>
      </c>
      <c r="T119" t="str">
        <f t="shared" si="2"/>
        <v/>
      </c>
      <c r="U119">
        <f>IF(COUNTIFS($B$2:B119,B119,$F$2:F119,F119)=1,1,0)</f>
        <v>0</v>
      </c>
      <c r="V119" s="13">
        <f t="shared" si="3"/>
        <v>-2381.7700000000004</v>
      </c>
    </row>
    <row r="120" spans="1:22">
      <c r="A120" t="s">
        <v>278</v>
      </c>
      <c r="B120" t="s">
        <v>157</v>
      </c>
      <c r="C120" t="s">
        <v>158</v>
      </c>
      <c r="D120" t="s">
        <v>24</v>
      </c>
      <c r="E120" t="s">
        <v>25</v>
      </c>
      <c r="F120" t="s">
        <v>66</v>
      </c>
      <c r="G120" t="s">
        <v>67</v>
      </c>
      <c r="H120" t="s">
        <v>244</v>
      </c>
      <c r="I120" t="s">
        <v>29</v>
      </c>
      <c r="J120" t="s">
        <v>69</v>
      </c>
      <c r="K120" t="s">
        <v>31</v>
      </c>
      <c r="L120" s="4">
        <v>46095</v>
      </c>
      <c r="M120" s="4">
        <v>46117</v>
      </c>
      <c r="N120" s="4"/>
      <c r="O120" t="s">
        <v>52</v>
      </c>
      <c r="P120" s="5">
        <v>0.25</v>
      </c>
      <c r="Q120" s="6">
        <v>26600</v>
      </c>
      <c r="R120" s="6">
        <v>23494.7</v>
      </c>
      <c r="S120">
        <v>3</v>
      </c>
      <c r="T120" t="str">
        <f t="shared" si="2"/>
        <v/>
      </c>
      <c r="U120">
        <f>IF(COUNTIFS($B$2:B120,B120,$F$2:F120,F120)=1,1,0)</f>
        <v>0</v>
      </c>
      <c r="V120" s="13">
        <f t="shared" si="3"/>
        <v>3105.2999999999993</v>
      </c>
    </row>
    <row r="121" spans="1:22">
      <c r="A121" t="s">
        <v>279</v>
      </c>
      <c r="B121" t="s">
        <v>160</v>
      </c>
      <c r="C121" t="s">
        <v>161</v>
      </c>
      <c r="D121" t="s">
        <v>36</v>
      </c>
      <c r="E121" t="s">
        <v>37</v>
      </c>
      <c r="F121" t="s">
        <v>75</v>
      </c>
      <c r="G121" t="s">
        <v>84</v>
      </c>
      <c r="H121" t="s">
        <v>248</v>
      </c>
      <c r="I121" t="s">
        <v>29</v>
      </c>
      <c r="J121" t="s">
        <v>30</v>
      </c>
      <c r="K121" t="s">
        <v>41</v>
      </c>
      <c r="L121" s="4">
        <v>46036</v>
      </c>
      <c r="M121" s="4">
        <v>46042</v>
      </c>
      <c r="N121" s="4">
        <v>46054</v>
      </c>
      <c r="O121" t="s">
        <v>32</v>
      </c>
      <c r="P121" s="5">
        <v>1</v>
      </c>
      <c r="Q121" s="6">
        <v>26500</v>
      </c>
      <c r="R121" s="6">
        <v>29010.95</v>
      </c>
      <c r="S121">
        <v>0</v>
      </c>
      <c r="T121">
        <f t="shared" si="2"/>
        <v>12</v>
      </c>
      <c r="U121">
        <f>IF(COUNTIFS($B$2:B121,B121,$F$2:F121,F121)=1,1,0)</f>
        <v>0</v>
      </c>
      <c r="V121" s="13">
        <f t="shared" si="3"/>
        <v>-2510.9500000000007</v>
      </c>
    </row>
    <row r="122" spans="1:22">
      <c r="A122" t="s">
        <v>280</v>
      </c>
      <c r="B122" t="s">
        <v>22</v>
      </c>
      <c r="C122" t="s">
        <v>23</v>
      </c>
      <c r="D122" t="s">
        <v>24</v>
      </c>
      <c r="E122" t="s">
        <v>25</v>
      </c>
      <c r="F122" t="s">
        <v>26</v>
      </c>
      <c r="G122" t="s">
        <v>90</v>
      </c>
      <c r="H122" t="s">
        <v>281</v>
      </c>
      <c r="I122" t="s">
        <v>86</v>
      </c>
      <c r="J122" t="s">
        <v>29</v>
      </c>
      <c r="K122" t="s">
        <v>51</v>
      </c>
      <c r="L122" s="4">
        <v>46132</v>
      </c>
      <c r="M122" s="4">
        <v>46135</v>
      </c>
      <c r="N122" s="4">
        <v>46131</v>
      </c>
      <c r="O122" t="s">
        <v>32</v>
      </c>
      <c r="P122" s="5">
        <v>1</v>
      </c>
      <c r="Q122" s="6">
        <v>2800</v>
      </c>
      <c r="R122" s="6">
        <v>2459.58</v>
      </c>
      <c r="S122">
        <v>1</v>
      </c>
      <c r="T122">
        <f t="shared" si="2"/>
        <v>0</v>
      </c>
      <c r="U122">
        <f>IF(COUNTIFS($B$2:B122,B122,$F$2:F122,F122)=1,1,0)</f>
        <v>0</v>
      </c>
      <c r="V122" s="13">
        <f t="shared" si="3"/>
        <v>340.42000000000007</v>
      </c>
    </row>
    <row r="123" spans="1:22">
      <c r="A123" t="s">
        <v>282</v>
      </c>
      <c r="B123" t="s">
        <v>34</v>
      </c>
      <c r="C123" t="s">
        <v>35</v>
      </c>
      <c r="D123" t="s">
        <v>36</v>
      </c>
      <c r="E123" t="s">
        <v>37</v>
      </c>
      <c r="F123" t="s">
        <v>38</v>
      </c>
      <c r="G123" t="s">
        <v>95</v>
      </c>
      <c r="H123" t="s">
        <v>283</v>
      </c>
      <c r="I123" t="s">
        <v>86</v>
      </c>
      <c r="J123" t="s">
        <v>30</v>
      </c>
      <c r="K123" t="s">
        <v>31</v>
      </c>
      <c r="L123" s="4">
        <v>45756</v>
      </c>
      <c r="M123" s="4">
        <v>45777</v>
      </c>
      <c r="N123" s="4">
        <v>45791</v>
      </c>
      <c r="O123" t="s">
        <v>32</v>
      </c>
      <c r="P123" s="5">
        <v>1</v>
      </c>
      <c r="Q123" s="6">
        <v>4500</v>
      </c>
      <c r="R123" s="6">
        <v>4515</v>
      </c>
      <c r="S123">
        <v>0</v>
      </c>
      <c r="T123">
        <f t="shared" si="2"/>
        <v>14</v>
      </c>
      <c r="U123">
        <f>IF(COUNTIFS($B$2:B123,B123,$F$2:F123,F123)=1,1,0)</f>
        <v>0</v>
      </c>
      <c r="V123" s="13">
        <f t="shared" si="3"/>
        <v>-15</v>
      </c>
    </row>
    <row r="124" spans="1:22">
      <c r="A124" t="s">
        <v>284</v>
      </c>
      <c r="B124" t="s">
        <v>44</v>
      </c>
      <c r="C124" t="s">
        <v>45</v>
      </c>
      <c r="D124" t="s">
        <v>46</v>
      </c>
      <c r="E124" t="s">
        <v>47</v>
      </c>
      <c r="F124" t="s">
        <v>48</v>
      </c>
      <c r="G124" t="s">
        <v>27</v>
      </c>
      <c r="H124" t="s">
        <v>285</v>
      </c>
      <c r="I124" t="s">
        <v>30</v>
      </c>
      <c r="J124" t="s">
        <v>29</v>
      </c>
      <c r="K124" t="s">
        <v>31</v>
      </c>
      <c r="L124" s="4">
        <v>45791</v>
      </c>
      <c r="M124" s="4">
        <v>45804</v>
      </c>
      <c r="N124" s="4"/>
      <c r="O124" t="s">
        <v>32</v>
      </c>
      <c r="P124" s="5">
        <v>0</v>
      </c>
      <c r="Q124" s="6">
        <v>15100</v>
      </c>
      <c r="R124" s="6">
        <v>0</v>
      </c>
      <c r="S124">
        <v>4</v>
      </c>
      <c r="T124" t="str">
        <f t="shared" si="2"/>
        <v/>
      </c>
      <c r="U124">
        <f>IF(COUNTIFS($B$2:B124,B124,$F$2:F124,F124)=1,1,0)</f>
        <v>0</v>
      </c>
      <c r="V124" s="13">
        <f t="shared" si="3"/>
        <v>15100</v>
      </c>
    </row>
    <row r="125" spans="1:22">
      <c r="A125" t="s">
        <v>286</v>
      </c>
      <c r="B125" t="s">
        <v>54</v>
      </c>
      <c r="C125" t="s">
        <v>55</v>
      </c>
      <c r="D125" t="s">
        <v>56</v>
      </c>
      <c r="E125" t="s">
        <v>57</v>
      </c>
      <c r="F125" t="s">
        <v>58</v>
      </c>
      <c r="G125" t="s">
        <v>39</v>
      </c>
      <c r="H125" t="s">
        <v>287</v>
      </c>
      <c r="I125" t="s">
        <v>69</v>
      </c>
      <c r="J125" t="s">
        <v>69</v>
      </c>
      <c r="K125" t="s">
        <v>31</v>
      </c>
      <c r="L125" s="4">
        <v>46054</v>
      </c>
      <c r="M125" s="4">
        <v>46078</v>
      </c>
      <c r="N125" s="4"/>
      <c r="O125" t="s">
        <v>32</v>
      </c>
      <c r="P125" s="5">
        <v>0</v>
      </c>
      <c r="Q125" s="6">
        <v>20800</v>
      </c>
      <c r="R125" s="6">
        <v>0</v>
      </c>
      <c r="S125">
        <v>4</v>
      </c>
      <c r="T125" t="str">
        <f t="shared" si="2"/>
        <v/>
      </c>
      <c r="U125">
        <f>IF(COUNTIFS($B$2:B125,B125,$F$2:F125,F125)=1,1,0)</f>
        <v>0</v>
      </c>
      <c r="V125" s="13">
        <f t="shared" si="3"/>
        <v>20800</v>
      </c>
    </row>
    <row r="126" spans="1:22">
      <c r="A126" t="s">
        <v>288</v>
      </c>
      <c r="B126" t="s">
        <v>62</v>
      </c>
      <c r="C126" t="s">
        <v>63</v>
      </c>
      <c r="D126" t="s">
        <v>64</v>
      </c>
      <c r="E126" t="s">
        <v>65</v>
      </c>
      <c r="F126" t="s">
        <v>66</v>
      </c>
      <c r="G126" t="s">
        <v>49</v>
      </c>
      <c r="H126" t="s">
        <v>289</v>
      </c>
      <c r="I126" t="s">
        <v>29</v>
      </c>
      <c r="J126" t="s">
        <v>30</v>
      </c>
      <c r="K126" t="s">
        <v>143</v>
      </c>
      <c r="L126" s="4">
        <v>45891</v>
      </c>
      <c r="M126" s="4">
        <v>45907</v>
      </c>
      <c r="N126" s="4"/>
      <c r="O126" t="s">
        <v>32</v>
      </c>
      <c r="P126" s="5">
        <v>0</v>
      </c>
      <c r="Q126" s="6">
        <v>31000</v>
      </c>
      <c r="R126" s="6">
        <v>0</v>
      </c>
      <c r="S126">
        <v>0</v>
      </c>
      <c r="T126" t="str">
        <f t="shared" si="2"/>
        <v/>
      </c>
      <c r="U126">
        <f>IF(COUNTIFS($B$2:B126,B126,$F$2:F126,F126)=1,1,0)</f>
        <v>0</v>
      </c>
      <c r="V126" s="13">
        <f t="shared" si="3"/>
        <v>31000</v>
      </c>
    </row>
    <row r="127" spans="1:22">
      <c r="A127" t="s">
        <v>290</v>
      </c>
      <c r="B127" t="s">
        <v>71</v>
      </c>
      <c r="C127" t="s">
        <v>72</v>
      </c>
      <c r="D127" t="s">
        <v>73</v>
      </c>
      <c r="E127" t="s">
        <v>74</v>
      </c>
      <c r="F127" t="s">
        <v>75</v>
      </c>
      <c r="G127" t="s">
        <v>59</v>
      </c>
      <c r="H127" t="s">
        <v>291</v>
      </c>
      <c r="I127" t="s">
        <v>29</v>
      </c>
      <c r="J127" t="s">
        <v>30</v>
      </c>
      <c r="K127" t="s">
        <v>178</v>
      </c>
      <c r="L127" s="4">
        <v>45802</v>
      </c>
      <c r="M127" s="4">
        <v>45805</v>
      </c>
      <c r="N127" s="4"/>
      <c r="O127" t="s">
        <v>32</v>
      </c>
      <c r="P127" s="5">
        <v>0.4</v>
      </c>
      <c r="Q127" s="6">
        <v>34900</v>
      </c>
      <c r="R127" s="6">
        <v>35880.01</v>
      </c>
      <c r="S127">
        <v>0</v>
      </c>
      <c r="T127" t="str">
        <f t="shared" si="2"/>
        <v/>
      </c>
      <c r="U127">
        <f>IF(COUNTIFS($B$2:B127,B127,$F$2:F127,F127)=1,1,0)</f>
        <v>0</v>
      </c>
      <c r="V127" s="13">
        <f t="shared" si="3"/>
        <v>-980.01000000000204</v>
      </c>
    </row>
    <row r="128" spans="1:22">
      <c r="A128" t="s">
        <v>292</v>
      </c>
      <c r="B128" t="s">
        <v>80</v>
      </c>
      <c r="C128" t="s">
        <v>81</v>
      </c>
      <c r="D128" t="s">
        <v>82</v>
      </c>
      <c r="E128" t="s">
        <v>83</v>
      </c>
      <c r="F128" t="s">
        <v>26</v>
      </c>
      <c r="G128" t="s">
        <v>67</v>
      </c>
      <c r="H128" t="s">
        <v>293</v>
      </c>
      <c r="I128" t="s">
        <v>30</v>
      </c>
      <c r="J128" t="s">
        <v>30</v>
      </c>
      <c r="K128" t="s">
        <v>31</v>
      </c>
      <c r="L128" s="4">
        <v>45810</v>
      </c>
      <c r="M128" s="4">
        <v>45825</v>
      </c>
      <c r="N128" s="4">
        <v>45828</v>
      </c>
      <c r="O128" t="s">
        <v>32</v>
      </c>
      <c r="P128" s="5">
        <v>1</v>
      </c>
      <c r="Q128" s="6">
        <v>30600</v>
      </c>
      <c r="R128" s="6">
        <v>35483.97</v>
      </c>
      <c r="S128">
        <v>0</v>
      </c>
      <c r="T128">
        <f t="shared" si="2"/>
        <v>3</v>
      </c>
      <c r="U128">
        <f>IF(COUNTIFS($B$2:B128,B128,$F$2:F128,F128)=1,1,0)</f>
        <v>0</v>
      </c>
      <c r="V128" s="13">
        <f t="shared" si="3"/>
        <v>-4883.9700000000012</v>
      </c>
    </row>
    <row r="129" spans="1:22">
      <c r="A129" t="s">
        <v>294</v>
      </c>
      <c r="B129" t="s">
        <v>88</v>
      </c>
      <c r="C129" t="s">
        <v>89</v>
      </c>
      <c r="D129" t="s">
        <v>24</v>
      </c>
      <c r="E129" t="s">
        <v>25</v>
      </c>
      <c r="F129" t="s">
        <v>38</v>
      </c>
      <c r="G129" t="s">
        <v>76</v>
      </c>
      <c r="H129" t="s">
        <v>295</v>
      </c>
      <c r="I129" t="s">
        <v>69</v>
      </c>
      <c r="J129" t="s">
        <v>30</v>
      </c>
      <c r="K129" t="s">
        <v>143</v>
      </c>
      <c r="L129" s="4">
        <v>45753</v>
      </c>
      <c r="M129" s="4">
        <v>45783</v>
      </c>
      <c r="N129" s="4"/>
      <c r="O129" t="s">
        <v>32</v>
      </c>
      <c r="P129" s="5">
        <v>0.6</v>
      </c>
      <c r="Q129" s="6">
        <v>26400</v>
      </c>
      <c r="R129" s="6">
        <v>29245.57</v>
      </c>
      <c r="S129">
        <v>1</v>
      </c>
      <c r="T129" t="str">
        <f t="shared" si="2"/>
        <v/>
      </c>
      <c r="U129">
        <f>IF(COUNTIFS($B$2:B129,B129,$F$2:F129,F129)=1,1,0)</f>
        <v>0</v>
      </c>
      <c r="V129" s="13">
        <f t="shared" si="3"/>
        <v>-2845.5699999999997</v>
      </c>
    </row>
    <row r="130" spans="1:22">
      <c r="A130" t="s">
        <v>296</v>
      </c>
      <c r="B130" t="s">
        <v>93</v>
      </c>
      <c r="C130" t="s">
        <v>94</v>
      </c>
      <c r="D130" t="s">
        <v>36</v>
      </c>
      <c r="E130" t="s">
        <v>37</v>
      </c>
      <c r="F130" t="s">
        <v>48</v>
      </c>
      <c r="G130" t="s">
        <v>84</v>
      </c>
      <c r="H130" t="s">
        <v>297</v>
      </c>
      <c r="I130" t="s">
        <v>30</v>
      </c>
      <c r="J130" t="s">
        <v>30</v>
      </c>
      <c r="K130" t="s">
        <v>31</v>
      </c>
      <c r="L130" s="4">
        <v>46157</v>
      </c>
      <c r="M130" s="4">
        <v>46186</v>
      </c>
      <c r="N130" s="4">
        <v>46181</v>
      </c>
      <c r="O130" t="s">
        <v>32</v>
      </c>
      <c r="P130" s="5">
        <v>1</v>
      </c>
      <c r="Q130" s="6">
        <v>17200</v>
      </c>
      <c r="R130" s="6">
        <v>16718.79</v>
      </c>
      <c r="S130">
        <v>1</v>
      </c>
      <c r="T130">
        <f t="shared" ref="T130:T193" si="4">IF(N130="","",MAX(0,N130-M130))</f>
        <v>0</v>
      </c>
      <c r="U130">
        <f>IF(COUNTIFS($B$2:B130,B130,$F$2:F130,F130)=1,1,0)</f>
        <v>0</v>
      </c>
      <c r="V130" s="13">
        <f t="shared" ref="V130:V193" si="5">Q130-R130</f>
        <v>481.20999999999913</v>
      </c>
    </row>
    <row r="131" spans="1:22">
      <c r="A131" t="s">
        <v>298</v>
      </c>
      <c r="B131" t="s">
        <v>98</v>
      </c>
      <c r="C131" t="s">
        <v>99</v>
      </c>
      <c r="D131" t="s">
        <v>46</v>
      </c>
      <c r="E131" t="s">
        <v>47</v>
      </c>
      <c r="F131" t="s">
        <v>58</v>
      </c>
      <c r="G131" t="s">
        <v>90</v>
      </c>
      <c r="H131" t="s">
        <v>281</v>
      </c>
      <c r="I131" t="s">
        <v>29</v>
      </c>
      <c r="J131" t="s">
        <v>30</v>
      </c>
      <c r="K131" t="s">
        <v>31</v>
      </c>
      <c r="L131" s="4">
        <v>45794</v>
      </c>
      <c r="M131" s="4">
        <v>45820</v>
      </c>
      <c r="N131" s="4"/>
      <c r="O131" t="s">
        <v>52</v>
      </c>
      <c r="P131" s="5">
        <v>0.5</v>
      </c>
      <c r="Q131" s="6">
        <v>35400</v>
      </c>
      <c r="R131" s="6">
        <v>41000.21</v>
      </c>
      <c r="S131">
        <v>2</v>
      </c>
      <c r="T131" t="str">
        <f t="shared" si="4"/>
        <v/>
      </c>
      <c r="U131">
        <f>IF(COUNTIFS($B$2:B131,B131,$F$2:F131,F131)=1,1,0)</f>
        <v>0</v>
      </c>
      <c r="V131" s="13">
        <f t="shared" si="5"/>
        <v>-5600.2099999999991</v>
      </c>
    </row>
    <row r="132" spans="1:22">
      <c r="A132" t="s">
        <v>299</v>
      </c>
      <c r="B132" t="s">
        <v>101</v>
      </c>
      <c r="C132" t="s">
        <v>102</v>
      </c>
      <c r="D132" t="s">
        <v>56</v>
      </c>
      <c r="E132" t="s">
        <v>57</v>
      </c>
      <c r="F132" t="s">
        <v>66</v>
      </c>
      <c r="G132" t="s">
        <v>95</v>
      </c>
      <c r="H132" t="s">
        <v>283</v>
      </c>
      <c r="I132" t="s">
        <v>29</v>
      </c>
      <c r="J132" t="s">
        <v>30</v>
      </c>
      <c r="K132" t="s">
        <v>78</v>
      </c>
      <c r="L132" s="4">
        <v>46098</v>
      </c>
      <c r="M132" s="4">
        <v>46124</v>
      </c>
      <c r="N132" s="4"/>
      <c r="O132" t="s">
        <v>109</v>
      </c>
      <c r="P132" s="5">
        <v>0.2</v>
      </c>
      <c r="Q132" s="6">
        <v>11800</v>
      </c>
      <c r="R132" s="6">
        <v>12557.21</v>
      </c>
      <c r="S132">
        <v>2</v>
      </c>
      <c r="T132" t="str">
        <f t="shared" si="4"/>
        <v/>
      </c>
      <c r="U132">
        <f>IF(COUNTIFS($B$2:B132,B132,$F$2:F132,F132)=1,1,0)</f>
        <v>0</v>
      </c>
      <c r="V132" s="13">
        <f t="shared" si="5"/>
        <v>-757.20999999999913</v>
      </c>
    </row>
    <row r="133" spans="1:22">
      <c r="A133" t="s">
        <v>300</v>
      </c>
      <c r="B133" t="s">
        <v>104</v>
      </c>
      <c r="C133" t="s">
        <v>105</v>
      </c>
      <c r="D133" t="s">
        <v>64</v>
      </c>
      <c r="E133" t="s">
        <v>65</v>
      </c>
      <c r="F133" t="s">
        <v>75</v>
      </c>
      <c r="G133" t="s">
        <v>27</v>
      </c>
      <c r="H133" t="s">
        <v>285</v>
      </c>
      <c r="I133" t="s">
        <v>69</v>
      </c>
      <c r="J133" t="s">
        <v>29</v>
      </c>
      <c r="K133" t="s">
        <v>51</v>
      </c>
      <c r="L133" s="4">
        <v>46087</v>
      </c>
      <c r="M133" s="4">
        <v>46114</v>
      </c>
      <c r="N133" s="4">
        <v>46107</v>
      </c>
      <c r="O133" t="s">
        <v>32</v>
      </c>
      <c r="P133" s="5">
        <v>1</v>
      </c>
      <c r="Q133" s="6">
        <v>26700</v>
      </c>
      <c r="R133" s="6">
        <v>28083.49</v>
      </c>
      <c r="S133">
        <v>1</v>
      </c>
      <c r="T133">
        <f t="shared" si="4"/>
        <v>0</v>
      </c>
      <c r="U133">
        <f>IF(COUNTIFS($B$2:B133,B133,$F$2:F133,F133)=1,1,0)</f>
        <v>0</v>
      </c>
      <c r="V133" s="13">
        <f t="shared" si="5"/>
        <v>-1383.4900000000016</v>
      </c>
    </row>
    <row r="134" spans="1:22">
      <c r="A134" t="s">
        <v>301</v>
      </c>
      <c r="B134" t="s">
        <v>107</v>
      </c>
      <c r="C134" t="s">
        <v>108</v>
      </c>
      <c r="D134" t="s">
        <v>73</v>
      </c>
      <c r="E134" t="s">
        <v>74</v>
      </c>
      <c r="F134" t="s">
        <v>26</v>
      </c>
      <c r="G134" t="s">
        <v>39</v>
      </c>
      <c r="H134" t="s">
        <v>287</v>
      </c>
      <c r="I134" t="s">
        <v>69</v>
      </c>
      <c r="J134" t="s">
        <v>69</v>
      </c>
      <c r="K134" t="s">
        <v>31</v>
      </c>
      <c r="L134" s="4">
        <v>46022</v>
      </c>
      <c r="M134" s="4">
        <v>46029</v>
      </c>
      <c r="N134" s="4"/>
      <c r="O134" t="s">
        <v>52</v>
      </c>
      <c r="P134" s="5">
        <v>0.6</v>
      </c>
      <c r="Q134" s="6">
        <v>20700</v>
      </c>
      <c r="R134" s="6">
        <v>17874.98</v>
      </c>
      <c r="S134">
        <v>3</v>
      </c>
      <c r="T134" t="str">
        <f t="shared" si="4"/>
        <v/>
      </c>
      <c r="U134">
        <f>IF(COUNTIFS($B$2:B134,B134,$F$2:F134,F134)=1,1,0)</f>
        <v>0</v>
      </c>
      <c r="V134" s="13">
        <f t="shared" si="5"/>
        <v>2825.0200000000004</v>
      </c>
    </row>
    <row r="135" spans="1:22">
      <c r="A135" t="s">
        <v>302</v>
      </c>
      <c r="B135" t="s">
        <v>111</v>
      </c>
      <c r="C135" t="s">
        <v>112</v>
      </c>
      <c r="D135" t="s">
        <v>82</v>
      </c>
      <c r="E135" t="s">
        <v>83</v>
      </c>
      <c r="F135" t="s">
        <v>38</v>
      </c>
      <c r="G135" t="s">
        <v>49</v>
      </c>
      <c r="H135" t="s">
        <v>289</v>
      </c>
      <c r="I135" t="s">
        <v>30</v>
      </c>
      <c r="J135" t="s">
        <v>30</v>
      </c>
      <c r="K135" t="s">
        <v>31</v>
      </c>
      <c r="L135" s="4">
        <v>45822</v>
      </c>
      <c r="M135" s="4">
        <v>45826</v>
      </c>
      <c r="N135" s="4"/>
      <c r="O135" t="s">
        <v>42</v>
      </c>
      <c r="P135" s="5">
        <v>0</v>
      </c>
      <c r="Q135" s="6">
        <v>37700</v>
      </c>
      <c r="R135" s="6">
        <v>0</v>
      </c>
      <c r="S135">
        <v>4</v>
      </c>
      <c r="T135" t="str">
        <f t="shared" si="4"/>
        <v/>
      </c>
      <c r="U135">
        <f>IF(COUNTIFS($B$2:B135,B135,$F$2:F135,F135)=1,1,0)</f>
        <v>0</v>
      </c>
      <c r="V135" s="13">
        <f t="shared" si="5"/>
        <v>37700</v>
      </c>
    </row>
    <row r="136" spans="1:22">
      <c r="A136" t="s">
        <v>303</v>
      </c>
      <c r="B136" t="s">
        <v>114</v>
      </c>
      <c r="C136" t="s">
        <v>115</v>
      </c>
      <c r="D136" t="s">
        <v>24</v>
      </c>
      <c r="E136" t="s">
        <v>25</v>
      </c>
      <c r="F136" t="s">
        <v>48</v>
      </c>
      <c r="G136" t="s">
        <v>59</v>
      </c>
      <c r="H136" t="s">
        <v>291</v>
      </c>
      <c r="I136" t="s">
        <v>69</v>
      </c>
      <c r="J136" t="s">
        <v>29</v>
      </c>
      <c r="K136" t="s">
        <v>143</v>
      </c>
      <c r="L136" s="4">
        <v>46083</v>
      </c>
      <c r="M136" s="4">
        <v>46104</v>
      </c>
      <c r="N136" s="4">
        <v>46112</v>
      </c>
      <c r="O136" t="s">
        <v>32</v>
      </c>
      <c r="P136" s="5">
        <v>1</v>
      </c>
      <c r="Q136" s="6">
        <v>35900</v>
      </c>
      <c r="R136" s="6">
        <v>40043.120000000003</v>
      </c>
      <c r="S136">
        <v>1</v>
      </c>
      <c r="T136">
        <f t="shared" si="4"/>
        <v>8</v>
      </c>
      <c r="U136">
        <f>IF(COUNTIFS($B$2:B136,B136,$F$2:F136,F136)=1,1,0)</f>
        <v>0</v>
      </c>
      <c r="V136" s="13">
        <f t="shared" si="5"/>
        <v>-4143.1200000000026</v>
      </c>
    </row>
    <row r="137" spans="1:22">
      <c r="A137" t="s">
        <v>304</v>
      </c>
      <c r="B137" t="s">
        <v>117</v>
      </c>
      <c r="C137" t="s">
        <v>118</v>
      </c>
      <c r="D137" t="s">
        <v>36</v>
      </c>
      <c r="E137" t="s">
        <v>37</v>
      </c>
      <c r="F137" t="s">
        <v>58</v>
      </c>
      <c r="G137" t="s">
        <v>67</v>
      </c>
      <c r="H137" t="s">
        <v>293</v>
      </c>
      <c r="I137" t="s">
        <v>69</v>
      </c>
      <c r="J137" t="s">
        <v>29</v>
      </c>
      <c r="K137" t="s">
        <v>31</v>
      </c>
      <c r="L137" s="4">
        <v>46000</v>
      </c>
      <c r="M137" s="4">
        <v>46019</v>
      </c>
      <c r="N137" s="4"/>
      <c r="O137" t="s">
        <v>42</v>
      </c>
      <c r="P137" s="5">
        <v>0</v>
      </c>
      <c r="Q137" s="6">
        <v>4200</v>
      </c>
      <c r="R137" s="6">
        <v>0</v>
      </c>
      <c r="S137">
        <v>3</v>
      </c>
      <c r="T137" t="str">
        <f t="shared" si="4"/>
        <v/>
      </c>
      <c r="U137">
        <f>IF(COUNTIFS($B$2:B137,B137,$F$2:F137,F137)=1,1,0)</f>
        <v>0</v>
      </c>
      <c r="V137" s="13">
        <f t="shared" si="5"/>
        <v>4200</v>
      </c>
    </row>
    <row r="138" spans="1:22">
      <c r="A138" t="s">
        <v>305</v>
      </c>
      <c r="B138" t="s">
        <v>120</v>
      </c>
      <c r="C138" t="s">
        <v>121</v>
      </c>
      <c r="D138" t="s">
        <v>46</v>
      </c>
      <c r="E138" t="s">
        <v>47</v>
      </c>
      <c r="F138" t="s">
        <v>66</v>
      </c>
      <c r="G138" t="s">
        <v>76</v>
      </c>
      <c r="H138" t="s">
        <v>295</v>
      </c>
      <c r="I138" t="s">
        <v>29</v>
      </c>
      <c r="J138" t="s">
        <v>29</v>
      </c>
      <c r="K138" t="s">
        <v>143</v>
      </c>
      <c r="L138" s="4">
        <v>45723</v>
      </c>
      <c r="M138" s="4">
        <v>45727</v>
      </c>
      <c r="N138" s="4"/>
      <c r="O138" t="s">
        <v>52</v>
      </c>
      <c r="P138" s="5">
        <v>0.6</v>
      </c>
      <c r="Q138" s="6">
        <v>44600</v>
      </c>
      <c r="R138" s="6">
        <v>38838.080000000002</v>
      </c>
      <c r="S138">
        <v>1</v>
      </c>
      <c r="T138" t="str">
        <f t="shared" si="4"/>
        <v/>
      </c>
      <c r="U138">
        <f>IF(COUNTIFS($B$2:B138,B138,$F$2:F138,F138)=1,1,0)</f>
        <v>0</v>
      </c>
      <c r="V138" s="13">
        <f t="shared" si="5"/>
        <v>5761.9199999999983</v>
      </c>
    </row>
    <row r="139" spans="1:22">
      <c r="A139" t="s">
        <v>306</v>
      </c>
      <c r="B139" t="s">
        <v>123</v>
      </c>
      <c r="C139" t="s">
        <v>124</v>
      </c>
      <c r="D139" t="s">
        <v>56</v>
      </c>
      <c r="E139" t="s">
        <v>57</v>
      </c>
      <c r="F139" t="s">
        <v>75</v>
      </c>
      <c r="G139" t="s">
        <v>84</v>
      </c>
      <c r="H139" t="s">
        <v>297</v>
      </c>
      <c r="I139" t="s">
        <v>29</v>
      </c>
      <c r="J139" t="s">
        <v>69</v>
      </c>
      <c r="K139" t="s">
        <v>31</v>
      </c>
      <c r="L139" s="4">
        <v>45764</v>
      </c>
      <c r="M139" s="4">
        <v>45788</v>
      </c>
      <c r="N139" s="4">
        <v>45792</v>
      </c>
      <c r="O139" t="s">
        <v>32</v>
      </c>
      <c r="P139" s="5">
        <v>1</v>
      </c>
      <c r="Q139" s="6">
        <v>4400</v>
      </c>
      <c r="R139" s="6">
        <v>4030.36</v>
      </c>
      <c r="S139">
        <v>5</v>
      </c>
      <c r="T139">
        <f t="shared" si="4"/>
        <v>4</v>
      </c>
      <c r="U139">
        <f>IF(COUNTIFS($B$2:B139,B139,$F$2:F139,F139)=1,1,0)</f>
        <v>0</v>
      </c>
      <c r="V139" s="13">
        <f t="shared" si="5"/>
        <v>369.63999999999987</v>
      </c>
    </row>
    <row r="140" spans="1:22">
      <c r="A140" t="s">
        <v>307</v>
      </c>
      <c r="B140" t="s">
        <v>126</v>
      </c>
      <c r="C140" t="s">
        <v>127</v>
      </c>
      <c r="D140" t="s">
        <v>64</v>
      </c>
      <c r="E140" t="s">
        <v>65</v>
      </c>
      <c r="F140" t="s">
        <v>26</v>
      </c>
      <c r="G140" t="s">
        <v>90</v>
      </c>
      <c r="H140" t="s">
        <v>281</v>
      </c>
      <c r="I140" t="s">
        <v>29</v>
      </c>
      <c r="J140" t="s">
        <v>29</v>
      </c>
      <c r="K140" t="s">
        <v>51</v>
      </c>
      <c r="L140" s="4">
        <v>45748</v>
      </c>
      <c r="M140" s="4">
        <v>45761</v>
      </c>
      <c r="N140" s="4"/>
      <c r="O140" t="s">
        <v>42</v>
      </c>
      <c r="P140" s="5">
        <v>0</v>
      </c>
      <c r="Q140" s="6">
        <v>30400</v>
      </c>
      <c r="R140" s="6">
        <v>0</v>
      </c>
      <c r="S140">
        <v>3</v>
      </c>
      <c r="T140" t="str">
        <f t="shared" si="4"/>
        <v/>
      </c>
      <c r="U140">
        <f>IF(COUNTIFS($B$2:B140,B140,$F$2:F140,F140)=1,1,0)</f>
        <v>0</v>
      </c>
      <c r="V140" s="13">
        <f t="shared" si="5"/>
        <v>30400</v>
      </c>
    </row>
    <row r="141" spans="1:22">
      <c r="A141" t="s">
        <v>308</v>
      </c>
      <c r="B141" t="s">
        <v>129</v>
      </c>
      <c r="C141" t="s">
        <v>130</v>
      </c>
      <c r="D141" t="s">
        <v>73</v>
      </c>
      <c r="E141" t="s">
        <v>74</v>
      </c>
      <c r="F141" t="s">
        <v>38</v>
      </c>
      <c r="G141" t="s">
        <v>95</v>
      </c>
      <c r="H141" t="s">
        <v>283</v>
      </c>
      <c r="I141" t="s">
        <v>69</v>
      </c>
      <c r="J141" t="s">
        <v>29</v>
      </c>
      <c r="K141" t="s">
        <v>31</v>
      </c>
      <c r="L141" s="4">
        <v>45795</v>
      </c>
      <c r="M141" s="4">
        <v>45807</v>
      </c>
      <c r="N141" s="4">
        <v>45806</v>
      </c>
      <c r="O141" t="s">
        <v>32</v>
      </c>
      <c r="P141" s="5">
        <v>1</v>
      </c>
      <c r="Q141" s="6">
        <v>29500</v>
      </c>
      <c r="R141" s="6">
        <v>29286.78</v>
      </c>
      <c r="S141">
        <v>2</v>
      </c>
      <c r="T141">
        <f t="shared" si="4"/>
        <v>0</v>
      </c>
      <c r="U141">
        <f>IF(COUNTIFS($B$2:B141,B141,$F$2:F141,F141)=1,1,0)</f>
        <v>0</v>
      </c>
      <c r="V141" s="13">
        <f t="shared" si="5"/>
        <v>213.22000000000116</v>
      </c>
    </row>
    <row r="142" spans="1:22">
      <c r="A142" t="s">
        <v>309</v>
      </c>
      <c r="B142" t="s">
        <v>132</v>
      </c>
      <c r="C142" t="s">
        <v>133</v>
      </c>
      <c r="D142" t="s">
        <v>82</v>
      </c>
      <c r="E142" t="s">
        <v>83</v>
      </c>
      <c r="F142" t="s">
        <v>48</v>
      </c>
      <c r="G142" t="s">
        <v>27</v>
      </c>
      <c r="H142" t="s">
        <v>285</v>
      </c>
      <c r="I142" t="s">
        <v>69</v>
      </c>
      <c r="J142" t="s">
        <v>69</v>
      </c>
      <c r="K142" t="s">
        <v>178</v>
      </c>
      <c r="L142" s="4">
        <v>45916</v>
      </c>
      <c r="M142" s="4">
        <v>45921</v>
      </c>
      <c r="N142" s="4">
        <v>45917</v>
      </c>
      <c r="O142" t="s">
        <v>32</v>
      </c>
      <c r="P142" s="5">
        <v>1</v>
      </c>
      <c r="Q142" s="6">
        <v>17300</v>
      </c>
      <c r="R142" s="6">
        <v>19345.88</v>
      </c>
      <c r="S142">
        <v>3</v>
      </c>
      <c r="T142">
        <f t="shared" si="4"/>
        <v>0</v>
      </c>
      <c r="U142">
        <f>IF(COUNTIFS($B$2:B142,B142,$F$2:F142,F142)=1,1,0)</f>
        <v>0</v>
      </c>
      <c r="V142" s="13">
        <f t="shared" si="5"/>
        <v>-2045.880000000001</v>
      </c>
    </row>
    <row r="143" spans="1:22">
      <c r="A143" t="s">
        <v>310</v>
      </c>
      <c r="B143" t="s">
        <v>135</v>
      </c>
      <c r="C143" t="s">
        <v>136</v>
      </c>
      <c r="D143" t="s">
        <v>24</v>
      </c>
      <c r="E143" t="s">
        <v>25</v>
      </c>
      <c r="F143" t="s">
        <v>58</v>
      </c>
      <c r="G143" t="s">
        <v>39</v>
      </c>
      <c r="H143" t="s">
        <v>287</v>
      </c>
      <c r="I143" t="s">
        <v>86</v>
      </c>
      <c r="J143" t="s">
        <v>30</v>
      </c>
      <c r="K143" t="s">
        <v>31</v>
      </c>
      <c r="L143" s="4">
        <v>45956</v>
      </c>
      <c r="M143" s="4">
        <v>45963</v>
      </c>
      <c r="N143" s="4"/>
      <c r="O143" t="s">
        <v>42</v>
      </c>
      <c r="P143" s="5">
        <v>0</v>
      </c>
      <c r="Q143" s="6">
        <v>38200</v>
      </c>
      <c r="R143" s="6">
        <v>0</v>
      </c>
      <c r="S143">
        <v>3</v>
      </c>
      <c r="T143" t="str">
        <f t="shared" si="4"/>
        <v/>
      </c>
      <c r="U143">
        <f>IF(COUNTIFS($B$2:B143,B143,$F$2:F143,F143)=1,1,0)</f>
        <v>0</v>
      </c>
      <c r="V143" s="13">
        <f t="shared" si="5"/>
        <v>38200</v>
      </c>
    </row>
    <row r="144" spans="1:22">
      <c r="A144" t="s">
        <v>311</v>
      </c>
      <c r="B144" t="s">
        <v>138</v>
      </c>
      <c r="C144" t="s">
        <v>139</v>
      </c>
      <c r="D144" t="s">
        <v>36</v>
      </c>
      <c r="E144" t="s">
        <v>37</v>
      </c>
      <c r="F144" t="s">
        <v>66</v>
      </c>
      <c r="G144" t="s">
        <v>49</v>
      </c>
      <c r="H144" t="s">
        <v>289</v>
      </c>
      <c r="I144" t="s">
        <v>69</v>
      </c>
      <c r="J144" t="s">
        <v>69</v>
      </c>
      <c r="K144" t="s">
        <v>31</v>
      </c>
      <c r="L144" s="4">
        <v>46057</v>
      </c>
      <c r="M144" s="4">
        <v>46084</v>
      </c>
      <c r="N144" s="4">
        <v>46093</v>
      </c>
      <c r="O144" t="s">
        <v>32</v>
      </c>
      <c r="P144" s="5">
        <v>1</v>
      </c>
      <c r="Q144" s="6">
        <v>27500</v>
      </c>
      <c r="R144" s="6">
        <v>30506.38</v>
      </c>
      <c r="S144">
        <v>4</v>
      </c>
      <c r="T144">
        <f t="shared" si="4"/>
        <v>9</v>
      </c>
      <c r="U144">
        <f>IF(COUNTIFS($B$2:B144,B144,$F$2:F144,F144)=1,1,0)</f>
        <v>0</v>
      </c>
      <c r="V144" s="13">
        <f t="shared" si="5"/>
        <v>-3006.380000000001</v>
      </c>
    </row>
    <row r="145" spans="1:22">
      <c r="A145" t="s">
        <v>312</v>
      </c>
      <c r="B145" t="s">
        <v>141</v>
      </c>
      <c r="C145" t="s">
        <v>142</v>
      </c>
      <c r="D145" t="s">
        <v>46</v>
      </c>
      <c r="E145" t="s">
        <v>47</v>
      </c>
      <c r="F145" t="s">
        <v>75</v>
      </c>
      <c r="G145" t="s">
        <v>59</v>
      </c>
      <c r="H145" t="s">
        <v>291</v>
      </c>
      <c r="I145" t="s">
        <v>69</v>
      </c>
      <c r="J145" t="s">
        <v>29</v>
      </c>
      <c r="K145" t="s">
        <v>178</v>
      </c>
      <c r="L145" s="4">
        <v>45788</v>
      </c>
      <c r="M145" s="4">
        <v>45792</v>
      </c>
      <c r="N145" s="4"/>
      <c r="O145" t="s">
        <v>52</v>
      </c>
      <c r="P145" s="5">
        <v>0.85</v>
      </c>
      <c r="Q145" s="6">
        <v>32800</v>
      </c>
      <c r="R145" s="6">
        <v>38321.1</v>
      </c>
      <c r="S145">
        <v>1</v>
      </c>
      <c r="T145" t="str">
        <f t="shared" si="4"/>
        <v/>
      </c>
      <c r="U145">
        <f>IF(COUNTIFS($B$2:B145,B145,$F$2:F145,F145)=1,1,0)</f>
        <v>0</v>
      </c>
      <c r="V145" s="13">
        <f t="shared" si="5"/>
        <v>-5521.0999999999985</v>
      </c>
    </row>
    <row r="146" spans="1:22">
      <c r="A146" t="s">
        <v>313</v>
      </c>
      <c r="B146" t="s">
        <v>145</v>
      </c>
      <c r="C146" t="s">
        <v>146</v>
      </c>
      <c r="D146" t="s">
        <v>56</v>
      </c>
      <c r="E146" t="s">
        <v>57</v>
      </c>
      <c r="F146" t="s">
        <v>26</v>
      </c>
      <c r="G146" t="s">
        <v>67</v>
      </c>
      <c r="H146" t="s">
        <v>293</v>
      </c>
      <c r="I146" t="s">
        <v>69</v>
      </c>
      <c r="J146" t="s">
        <v>29</v>
      </c>
      <c r="K146" t="s">
        <v>31</v>
      </c>
      <c r="L146" s="4">
        <v>46011</v>
      </c>
      <c r="M146" s="4">
        <v>46023</v>
      </c>
      <c r="N146" s="4"/>
      <c r="O146" t="s">
        <v>109</v>
      </c>
      <c r="P146" s="5">
        <v>0.5</v>
      </c>
      <c r="Q146" s="6">
        <v>40800</v>
      </c>
      <c r="R146" s="6">
        <v>43944.91</v>
      </c>
      <c r="S146">
        <v>4</v>
      </c>
      <c r="T146" t="str">
        <f t="shared" si="4"/>
        <v/>
      </c>
      <c r="U146">
        <f>IF(COUNTIFS($B$2:B146,B146,$F$2:F146,F146)=1,1,0)</f>
        <v>0</v>
      </c>
      <c r="V146" s="13">
        <f t="shared" si="5"/>
        <v>-3144.9100000000035</v>
      </c>
    </row>
    <row r="147" spans="1:22">
      <c r="A147" t="s">
        <v>314</v>
      </c>
      <c r="B147" t="s">
        <v>148</v>
      </c>
      <c r="C147" t="s">
        <v>149</v>
      </c>
      <c r="D147" t="s">
        <v>64</v>
      </c>
      <c r="E147" t="s">
        <v>65</v>
      </c>
      <c r="F147" t="s">
        <v>38</v>
      </c>
      <c r="G147" t="s">
        <v>76</v>
      </c>
      <c r="H147" t="s">
        <v>295</v>
      </c>
      <c r="I147" t="s">
        <v>69</v>
      </c>
      <c r="J147" t="s">
        <v>30</v>
      </c>
      <c r="K147" t="s">
        <v>78</v>
      </c>
      <c r="L147" s="4">
        <v>45861</v>
      </c>
      <c r="M147" s="4">
        <v>45880</v>
      </c>
      <c r="N147" s="4">
        <v>45895</v>
      </c>
      <c r="O147" t="s">
        <v>32</v>
      </c>
      <c r="P147" s="5">
        <v>1</v>
      </c>
      <c r="Q147" s="6">
        <v>36400</v>
      </c>
      <c r="R147" s="6">
        <v>35575.97</v>
      </c>
      <c r="S147">
        <v>2</v>
      </c>
      <c r="T147">
        <f t="shared" si="4"/>
        <v>15</v>
      </c>
      <c r="U147">
        <f>IF(COUNTIFS($B$2:B147,B147,$F$2:F147,F147)=1,1,0)</f>
        <v>0</v>
      </c>
      <c r="V147" s="13">
        <f t="shared" si="5"/>
        <v>824.02999999999884</v>
      </c>
    </row>
    <row r="148" spans="1:22">
      <c r="A148" t="s">
        <v>315</v>
      </c>
      <c r="B148" t="s">
        <v>151</v>
      </c>
      <c r="C148" t="s">
        <v>152</v>
      </c>
      <c r="D148" t="s">
        <v>73</v>
      </c>
      <c r="E148" t="s">
        <v>74</v>
      </c>
      <c r="F148" t="s">
        <v>48</v>
      </c>
      <c r="G148" t="s">
        <v>84</v>
      </c>
      <c r="H148" t="s">
        <v>297</v>
      </c>
      <c r="I148" t="s">
        <v>69</v>
      </c>
      <c r="J148" t="s">
        <v>69</v>
      </c>
      <c r="K148" t="s">
        <v>143</v>
      </c>
      <c r="L148" s="4">
        <v>46055</v>
      </c>
      <c r="M148" s="4">
        <v>46080</v>
      </c>
      <c r="N148" s="4">
        <v>46086</v>
      </c>
      <c r="O148" t="s">
        <v>32</v>
      </c>
      <c r="P148" s="5">
        <v>1</v>
      </c>
      <c r="Q148" s="6">
        <v>38500</v>
      </c>
      <c r="R148" s="6">
        <v>39624.32</v>
      </c>
      <c r="S148">
        <v>5</v>
      </c>
      <c r="T148">
        <f t="shared" si="4"/>
        <v>6</v>
      </c>
      <c r="U148">
        <f>IF(COUNTIFS($B$2:B148,B148,$F$2:F148,F148)=1,1,0)</f>
        <v>0</v>
      </c>
      <c r="V148" s="13">
        <f t="shared" si="5"/>
        <v>-1124.3199999999997</v>
      </c>
    </row>
    <row r="149" spans="1:22">
      <c r="A149" t="s">
        <v>316</v>
      </c>
      <c r="B149" t="s">
        <v>154</v>
      </c>
      <c r="C149" t="s">
        <v>155</v>
      </c>
      <c r="D149" t="s">
        <v>82</v>
      </c>
      <c r="E149" t="s">
        <v>83</v>
      </c>
      <c r="F149" t="s">
        <v>58</v>
      </c>
      <c r="G149" t="s">
        <v>90</v>
      </c>
      <c r="H149" t="s">
        <v>281</v>
      </c>
      <c r="I149" t="s">
        <v>29</v>
      </c>
      <c r="J149" t="s">
        <v>69</v>
      </c>
      <c r="K149" t="s">
        <v>31</v>
      </c>
      <c r="L149" s="4">
        <v>46106</v>
      </c>
      <c r="M149" s="4">
        <v>46111</v>
      </c>
      <c r="N149" s="4"/>
      <c r="O149" t="s">
        <v>109</v>
      </c>
      <c r="P149" s="5">
        <v>0.2</v>
      </c>
      <c r="Q149" s="6">
        <v>37000</v>
      </c>
      <c r="R149" s="6">
        <v>46625.17</v>
      </c>
      <c r="S149">
        <v>1</v>
      </c>
      <c r="T149" t="str">
        <f t="shared" si="4"/>
        <v/>
      </c>
      <c r="U149">
        <f>IF(COUNTIFS($B$2:B149,B149,$F$2:F149,F149)=1,1,0)</f>
        <v>0</v>
      </c>
      <c r="V149" s="13">
        <f t="shared" si="5"/>
        <v>-9625.1699999999983</v>
      </c>
    </row>
    <row r="150" spans="1:22">
      <c r="A150" t="s">
        <v>317</v>
      </c>
      <c r="B150" t="s">
        <v>157</v>
      </c>
      <c r="C150" t="s">
        <v>158</v>
      </c>
      <c r="D150" t="s">
        <v>24</v>
      </c>
      <c r="E150" t="s">
        <v>25</v>
      </c>
      <c r="F150" t="s">
        <v>66</v>
      </c>
      <c r="G150" t="s">
        <v>95</v>
      </c>
      <c r="H150" t="s">
        <v>283</v>
      </c>
      <c r="I150" t="s">
        <v>29</v>
      </c>
      <c r="J150" t="s">
        <v>30</v>
      </c>
      <c r="K150" t="s">
        <v>31</v>
      </c>
      <c r="L150" s="4">
        <v>46120</v>
      </c>
      <c r="M150" s="4">
        <v>46125</v>
      </c>
      <c r="N150" s="4"/>
      <c r="O150" t="s">
        <v>52</v>
      </c>
      <c r="P150" s="5">
        <v>0.25</v>
      </c>
      <c r="Q150" s="6">
        <v>15400</v>
      </c>
      <c r="R150" s="6">
        <v>17887.62</v>
      </c>
      <c r="S150">
        <v>2</v>
      </c>
      <c r="T150" t="str">
        <f t="shared" si="4"/>
        <v/>
      </c>
      <c r="U150">
        <f>IF(COUNTIFS($B$2:B150,B150,$F$2:F150,F150)=1,1,0)</f>
        <v>0</v>
      </c>
      <c r="V150" s="13">
        <f t="shared" si="5"/>
        <v>-2487.619999999999</v>
      </c>
    </row>
    <row r="151" spans="1:22">
      <c r="A151" t="s">
        <v>318</v>
      </c>
      <c r="B151" t="s">
        <v>160</v>
      </c>
      <c r="C151" t="s">
        <v>161</v>
      </c>
      <c r="D151" t="s">
        <v>36</v>
      </c>
      <c r="E151" t="s">
        <v>37</v>
      </c>
      <c r="F151" t="s">
        <v>75</v>
      </c>
      <c r="G151" t="s">
        <v>39</v>
      </c>
      <c r="H151" t="s">
        <v>287</v>
      </c>
      <c r="I151" t="s">
        <v>29</v>
      </c>
      <c r="J151" t="s">
        <v>30</v>
      </c>
      <c r="K151" t="s">
        <v>31</v>
      </c>
      <c r="L151" s="4">
        <v>46062</v>
      </c>
      <c r="M151" s="4">
        <v>46087</v>
      </c>
      <c r="N151" s="4">
        <v>46089</v>
      </c>
      <c r="O151" t="s">
        <v>32</v>
      </c>
      <c r="P151" s="5">
        <v>1</v>
      </c>
      <c r="Q151" s="6">
        <v>28300</v>
      </c>
      <c r="R151" s="6">
        <v>25368.2</v>
      </c>
      <c r="S151">
        <v>1</v>
      </c>
      <c r="T151">
        <f t="shared" si="4"/>
        <v>2</v>
      </c>
      <c r="U151">
        <f>IF(COUNTIFS($B$2:B151,B151,$F$2:F151,F151)=1,1,0)</f>
        <v>0</v>
      </c>
      <c r="V151" s="13">
        <f t="shared" si="5"/>
        <v>2931.7999999999993</v>
      </c>
    </row>
    <row r="152" spans="1:22">
      <c r="A152" t="s">
        <v>319</v>
      </c>
      <c r="B152" t="s">
        <v>22</v>
      </c>
      <c r="C152" t="s">
        <v>23</v>
      </c>
      <c r="D152" t="s">
        <v>24</v>
      </c>
      <c r="E152" t="s">
        <v>25</v>
      </c>
      <c r="F152" t="s">
        <v>26</v>
      </c>
      <c r="G152" t="s">
        <v>49</v>
      </c>
      <c r="H152" t="s">
        <v>320</v>
      </c>
      <c r="I152" t="s">
        <v>29</v>
      </c>
      <c r="J152" t="s">
        <v>30</v>
      </c>
      <c r="K152" t="s">
        <v>178</v>
      </c>
      <c r="L152" s="4">
        <v>46125</v>
      </c>
      <c r="M152" s="4">
        <v>46141</v>
      </c>
      <c r="N152" s="4"/>
      <c r="O152" t="s">
        <v>32</v>
      </c>
      <c r="P152" s="5">
        <v>0</v>
      </c>
      <c r="Q152" s="6">
        <v>14000</v>
      </c>
      <c r="R152" s="6">
        <v>0</v>
      </c>
      <c r="S152">
        <v>1</v>
      </c>
      <c r="T152" t="str">
        <f t="shared" si="4"/>
        <v/>
      </c>
      <c r="U152">
        <f>IF(COUNTIFS($B$2:B152,B152,$F$2:F152,F152)=1,1,0)</f>
        <v>0</v>
      </c>
      <c r="V152" s="13">
        <f t="shared" si="5"/>
        <v>14000</v>
      </c>
    </row>
    <row r="153" spans="1:22">
      <c r="A153" t="s">
        <v>321</v>
      </c>
      <c r="B153" t="s">
        <v>34</v>
      </c>
      <c r="C153" t="s">
        <v>35</v>
      </c>
      <c r="D153" t="s">
        <v>36</v>
      </c>
      <c r="E153" t="s">
        <v>37</v>
      </c>
      <c r="F153" t="s">
        <v>38</v>
      </c>
      <c r="G153" t="s">
        <v>59</v>
      </c>
      <c r="H153" t="s">
        <v>322</v>
      </c>
      <c r="I153" t="s">
        <v>29</v>
      </c>
      <c r="J153" t="s">
        <v>29</v>
      </c>
      <c r="K153" t="s">
        <v>143</v>
      </c>
      <c r="L153" s="4">
        <v>45748</v>
      </c>
      <c r="M153" s="4">
        <v>45777</v>
      </c>
      <c r="N153" s="4">
        <v>45781</v>
      </c>
      <c r="O153" t="s">
        <v>32</v>
      </c>
      <c r="P153" s="5">
        <v>1</v>
      </c>
      <c r="Q153" s="6">
        <v>27500</v>
      </c>
      <c r="R153" s="6">
        <v>31671.63</v>
      </c>
      <c r="S153">
        <v>2</v>
      </c>
      <c r="T153">
        <f t="shared" si="4"/>
        <v>4</v>
      </c>
      <c r="U153">
        <f>IF(COUNTIFS($B$2:B153,B153,$F$2:F153,F153)=1,1,0)</f>
        <v>0</v>
      </c>
      <c r="V153" s="13">
        <f t="shared" si="5"/>
        <v>-4171.630000000001</v>
      </c>
    </row>
    <row r="154" spans="1:22">
      <c r="A154" t="s">
        <v>323</v>
      </c>
      <c r="B154" t="s">
        <v>44</v>
      </c>
      <c r="C154" t="s">
        <v>45</v>
      </c>
      <c r="D154" t="s">
        <v>46</v>
      </c>
      <c r="E154" t="s">
        <v>47</v>
      </c>
      <c r="F154" t="s">
        <v>48</v>
      </c>
      <c r="G154" t="s">
        <v>67</v>
      </c>
      <c r="H154" t="s">
        <v>324</v>
      </c>
      <c r="I154" t="s">
        <v>29</v>
      </c>
      <c r="J154" t="s">
        <v>30</v>
      </c>
      <c r="K154" t="s">
        <v>31</v>
      </c>
      <c r="L154" s="4">
        <v>45765</v>
      </c>
      <c r="M154" s="4">
        <v>45775</v>
      </c>
      <c r="N154" s="4">
        <v>45781</v>
      </c>
      <c r="O154" t="s">
        <v>32</v>
      </c>
      <c r="P154" s="5">
        <v>1</v>
      </c>
      <c r="Q154" s="6">
        <v>24300</v>
      </c>
      <c r="R154" s="6">
        <v>28452.560000000001</v>
      </c>
      <c r="S154">
        <v>0</v>
      </c>
      <c r="T154">
        <f t="shared" si="4"/>
        <v>6</v>
      </c>
      <c r="U154">
        <f>IF(COUNTIFS($B$2:B154,B154,$F$2:F154,F154)=1,1,0)</f>
        <v>0</v>
      </c>
      <c r="V154" s="13">
        <f t="shared" si="5"/>
        <v>-4152.5600000000013</v>
      </c>
    </row>
    <row r="155" spans="1:22">
      <c r="A155" t="s">
        <v>325</v>
      </c>
      <c r="B155" t="s">
        <v>54</v>
      </c>
      <c r="C155" t="s">
        <v>55</v>
      </c>
      <c r="D155" t="s">
        <v>56</v>
      </c>
      <c r="E155" t="s">
        <v>57</v>
      </c>
      <c r="F155" t="s">
        <v>58</v>
      </c>
      <c r="G155" t="s">
        <v>76</v>
      </c>
      <c r="H155" t="s">
        <v>326</v>
      </c>
      <c r="I155" t="s">
        <v>29</v>
      </c>
      <c r="J155" t="s">
        <v>29</v>
      </c>
      <c r="K155" t="s">
        <v>143</v>
      </c>
      <c r="L155" s="4">
        <v>46047</v>
      </c>
      <c r="M155" s="4">
        <v>46062</v>
      </c>
      <c r="N155" s="4">
        <v>46077</v>
      </c>
      <c r="O155" t="s">
        <v>32</v>
      </c>
      <c r="P155" s="5">
        <v>1</v>
      </c>
      <c r="Q155" s="6">
        <v>3400</v>
      </c>
      <c r="R155" s="6">
        <v>3193.98</v>
      </c>
      <c r="S155">
        <v>3</v>
      </c>
      <c r="T155">
        <f t="shared" si="4"/>
        <v>15</v>
      </c>
      <c r="U155">
        <f>IF(COUNTIFS($B$2:B155,B155,$F$2:F155,F155)=1,1,0)</f>
        <v>0</v>
      </c>
      <c r="V155" s="13">
        <f t="shared" si="5"/>
        <v>206.01999999999998</v>
      </c>
    </row>
    <row r="156" spans="1:22">
      <c r="A156" t="s">
        <v>327</v>
      </c>
      <c r="B156" t="s">
        <v>62</v>
      </c>
      <c r="C156" t="s">
        <v>63</v>
      </c>
      <c r="D156" t="s">
        <v>64</v>
      </c>
      <c r="E156" t="s">
        <v>65</v>
      </c>
      <c r="F156" t="s">
        <v>66</v>
      </c>
      <c r="G156" t="s">
        <v>84</v>
      </c>
      <c r="H156" t="s">
        <v>328</v>
      </c>
      <c r="I156" t="s">
        <v>69</v>
      </c>
      <c r="J156" t="s">
        <v>30</v>
      </c>
      <c r="K156" t="s">
        <v>31</v>
      </c>
      <c r="L156" s="4">
        <v>45864</v>
      </c>
      <c r="M156" s="4">
        <v>45890</v>
      </c>
      <c r="N156" s="4">
        <v>45899</v>
      </c>
      <c r="O156" t="s">
        <v>32</v>
      </c>
      <c r="P156" s="5">
        <v>1</v>
      </c>
      <c r="Q156" s="6">
        <v>34400</v>
      </c>
      <c r="R156" s="6">
        <v>38117.620000000003</v>
      </c>
      <c r="S156">
        <v>2</v>
      </c>
      <c r="T156">
        <f t="shared" si="4"/>
        <v>9</v>
      </c>
      <c r="U156">
        <f>IF(COUNTIFS($B$2:B156,B156,$F$2:F156,F156)=1,1,0)</f>
        <v>0</v>
      </c>
      <c r="V156" s="13">
        <f t="shared" si="5"/>
        <v>-3717.6200000000026</v>
      </c>
    </row>
    <row r="157" spans="1:22">
      <c r="A157" t="s">
        <v>329</v>
      </c>
      <c r="B157" t="s">
        <v>71</v>
      </c>
      <c r="C157" t="s">
        <v>72</v>
      </c>
      <c r="D157" t="s">
        <v>73</v>
      </c>
      <c r="E157" t="s">
        <v>74</v>
      </c>
      <c r="F157" t="s">
        <v>75</v>
      </c>
      <c r="G157" t="s">
        <v>90</v>
      </c>
      <c r="H157" t="s">
        <v>330</v>
      </c>
      <c r="I157" t="s">
        <v>29</v>
      </c>
      <c r="J157" t="s">
        <v>29</v>
      </c>
      <c r="K157" t="s">
        <v>41</v>
      </c>
      <c r="L157" s="4">
        <v>45906</v>
      </c>
      <c r="M157" s="4">
        <v>45931</v>
      </c>
      <c r="N157" s="4">
        <v>45938</v>
      </c>
      <c r="O157" t="s">
        <v>32</v>
      </c>
      <c r="P157" s="5">
        <v>1</v>
      </c>
      <c r="Q157" s="6">
        <v>9400</v>
      </c>
      <c r="R157" s="6">
        <v>10674.18</v>
      </c>
      <c r="S157">
        <v>3</v>
      </c>
      <c r="T157">
        <f t="shared" si="4"/>
        <v>7</v>
      </c>
      <c r="U157">
        <f>IF(COUNTIFS($B$2:B157,B157,$F$2:F157,F157)=1,1,0)</f>
        <v>0</v>
      </c>
      <c r="V157" s="13">
        <f t="shared" si="5"/>
        <v>-1274.1800000000003</v>
      </c>
    </row>
    <row r="158" spans="1:22">
      <c r="A158" t="s">
        <v>331</v>
      </c>
      <c r="B158" t="s">
        <v>80</v>
      </c>
      <c r="C158" t="s">
        <v>81</v>
      </c>
      <c r="D158" t="s">
        <v>82</v>
      </c>
      <c r="E158" t="s">
        <v>83</v>
      </c>
      <c r="F158" t="s">
        <v>26</v>
      </c>
      <c r="G158" t="s">
        <v>95</v>
      </c>
      <c r="H158" t="s">
        <v>332</v>
      </c>
      <c r="I158" t="s">
        <v>86</v>
      </c>
      <c r="J158" t="s">
        <v>30</v>
      </c>
      <c r="K158" t="s">
        <v>31</v>
      </c>
      <c r="L158" s="4">
        <v>45828</v>
      </c>
      <c r="M158" s="4">
        <v>45832</v>
      </c>
      <c r="N158" s="4"/>
      <c r="O158" t="s">
        <v>32</v>
      </c>
      <c r="P158" s="5">
        <v>0.5</v>
      </c>
      <c r="Q158" s="6">
        <v>23900</v>
      </c>
      <c r="R158" s="6">
        <v>27660.54</v>
      </c>
      <c r="S158">
        <v>1</v>
      </c>
      <c r="T158" t="str">
        <f t="shared" si="4"/>
        <v/>
      </c>
      <c r="U158">
        <f>IF(COUNTIFS($B$2:B158,B158,$F$2:F158,F158)=1,1,0)</f>
        <v>0</v>
      </c>
      <c r="V158" s="13">
        <f t="shared" si="5"/>
        <v>-3760.5400000000009</v>
      </c>
    </row>
    <row r="159" spans="1:22">
      <c r="A159" t="s">
        <v>333</v>
      </c>
      <c r="B159" t="s">
        <v>88</v>
      </c>
      <c r="C159" t="s">
        <v>89</v>
      </c>
      <c r="D159" t="s">
        <v>24</v>
      </c>
      <c r="E159" t="s">
        <v>25</v>
      </c>
      <c r="F159" t="s">
        <v>38</v>
      </c>
      <c r="G159" t="s">
        <v>27</v>
      </c>
      <c r="H159" t="s">
        <v>334</v>
      </c>
      <c r="I159" t="s">
        <v>29</v>
      </c>
      <c r="J159" t="s">
        <v>29</v>
      </c>
      <c r="K159" t="s">
        <v>31</v>
      </c>
      <c r="L159" s="4">
        <v>45825</v>
      </c>
      <c r="M159" s="4">
        <v>45855</v>
      </c>
      <c r="N159" s="4">
        <v>45861</v>
      </c>
      <c r="O159" t="s">
        <v>32</v>
      </c>
      <c r="P159" s="5">
        <v>1</v>
      </c>
      <c r="Q159" s="6">
        <v>6900</v>
      </c>
      <c r="R159" s="6">
        <v>6528.91</v>
      </c>
      <c r="S159">
        <v>0</v>
      </c>
      <c r="T159">
        <f t="shared" si="4"/>
        <v>6</v>
      </c>
      <c r="U159">
        <f>IF(COUNTIFS($B$2:B159,B159,$F$2:F159,F159)=1,1,0)</f>
        <v>0</v>
      </c>
      <c r="V159" s="13">
        <f t="shared" si="5"/>
        <v>371.09000000000015</v>
      </c>
    </row>
    <row r="160" spans="1:22">
      <c r="A160" t="s">
        <v>335</v>
      </c>
      <c r="B160" t="s">
        <v>93</v>
      </c>
      <c r="C160" t="s">
        <v>94</v>
      </c>
      <c r="D160" t="s">
        <v>36</v>
      </c>
      <c r="E160" t="s">
        <v>37</v>
      </c>
      <c r="F160" t="s">
        <v>48</v>
      </c>
      <c r="G160" t="s">
        <v>39</v>
      </c>
      <c r="H160" t="s">
        <v>336</v>
      </c>
      <c r="I160" t="s">
        <v>69</v>
      </c>
      <c r="J160" t="s">
        <v>69</v>
      </c>
      <c r="K160" t="s">
        <v>31</v>
      </c>
      <c r="L160" s="4">
        <v>46087</v>
      </c>
      <c r="M160" s="4">
        <v>46105</v>
      </c>
      <c r="N160" s="4">
        <v>46118</v>
      </c>
      <c r="O160" t="s">
        <v>32</v>
      </c>
      <c r="P160" s="5">
        <v>1</v>
      </c>
      <c r="Q160" s="6">
        <v>17500</v>
      </c>
      <c r="R160" s="6">
        <v>19168.95</v>
      </c>
      <c r="S160">
        <v>2</v>
      </c>
      <c r="T160">
        <f t="shared" si="4"/>
        <v>13</v>
      </c>
      <c r="U160">
        <f>IF(COUNTIFS($B$2:B160,B160,$F$2:F160,F160)=1,1,0)</f>
        <v>0</v>
      </c>
      <c r="V160" s="13">
        <f t="shared" si="5"/>
        <v>-1668.9500000000007</v>
      </c>
    </row>
    <row r="161" spans="1:22">
      <c r="A161" t="s">
        <v>337</v>
      </c>
      <c r="B161" t="s">
        <v>98</v>
      </c>
      <c r="C161" t="s">
        <v>99</v>
      </c>
      <c r="D161" t="s">
        <v>46</v>
      </c>
      <c r="E161" t="s">
        <v>47</v>
      </c>
      <c r="F161" t="s">
        <v>58</v>
      </c>
      <c r="G161" t="s">
        <v>49</v>
      </c>
      <c r="H161" t="s">
        <v>320</v>
      </c>
      <c r="I161" t="s">
        <v>30</v>
      </c>
      <c r="J161" t="s">
        <v>30</v>
      </c>
      <c r="K161" t="s">
        <v>31</v>
      </c>
      <c r="L161" s="4">
        <v>45761</v>
      </c>
      <c r="M161" s="4">
        <v>45781</v>
      </c>
      <c r="N161" s="4"/>
      <c r="O161" t="s">
        <v>52</v>
      </c>
      <c r="P161" s="5">
        <v>0.25</v>
      </c>
      <c r="Q161" s="6">
        <v>5000</v>
      </c>
      <c r="R161" s="6">
        <v>4850.16</v>
      </c>
      <c r="S161">
        <v>0</v>
      </c>
      <c r="T161" t="str">
        <f t="shared" si="4"/>
        <v/>
      </c>
      <c r="U161">
        <f>IF(COUNTIFS($B$2:B161,B161,$F$2:F161,F161)=1,1,0)</f>
        <v>0</v>
      </c>
      <c r="V161" s="13">
        <f t="shared" si="5"/>
        <v>149.84000000000015</v>
      </c>
    </row>
    <row r="162" spans="1:22">
      <c r="A162" t="s">
        <v>338</v>
      </c>
      <c r="B162" t="s">
        <v>101</v>
      </c>
      <c r="C162" t="s">
        <v>102</v>
      </c>
      <c r="D162" t="s">
        <v>56</v>
      </c>
      <c r="E162" t="s">
        <v>57</v>
      </c>
      <c r="F162" t="s">
        <v>66</v>
      </c>
      <c r="G162" t="s">
        <v>59</v>
      </c>
      <c r="H162" t="s">
        <v>322</v>
      </c>
      <c r="I162" t="s">
        <v>69</v>
      </c>
      <c r="J162" t="s">
        <v>30</v>
      </c>
      <c r="K162" t="s">
        <v>78</v>
      </c>
      <c r="L162" s="4">
        <v>46098</v>
      </c>
      <c r="M162" s="4">
        <v>46115</v>
      </c>
      <c r="N162" s="4"/>
      <c r="O162" t="s">
        <v>42</v>
      </c>
      <c r="P162" s="5">
        <v>0</v>
      </c>
      <c r="Q162" s="6">
        <v>39300</v>
      </c>
      <c r="R162" s="6">
        <v>0</v>
      </c>
      <c r="S162">
        <v>5</v>
      </c>
      <c r="T162" t="str">
        <f t="shared" si="4"/>
        <v/>
      </c>
      <c r="U162">
        <f>IF(COUNTIFS($B$2:B162,B162,$F$2:F162,F162)=1,1,0)</f>
        <v>0</v>
      </c>
      <c r="V162" s="13">
        <f t="shared" si="5"/>
        <v>39300</v>
      </c>
    </row>
    <row r="163" spans="1:22">
      <c r="A163" t="s">
        <v>339</v>
      </c>
      <c r="B163" t="s">
        <v>104</v>
      </c>
      <c r="C163" t="s">
        <v>105</v>
      </c>
      <c r="D163" t="s">
        <v>64</v>
      </c>
      <c r="E163" t="s">
        <v>65</v>
      </c>
      <c r="F163" t="s">
        <v>75</v>
      </c>
      <c r="G163" t="s">
        <v>67</v>
      </c>
      <c r="H163" t="s">
        <v>324</v>
      </c>
      <c r="I163" t="s">
        <v>29</v>
      </c>
      <c r="J163" t="s">
        <v>69</v>
      </c>
      <c r="K163" t="s">
        <v>178</v>
      </c>
      <c r="L163" s="4">
        <v>46061</v>
      </c>
      <c r="M163" s="4">
        <v>46085</v>
      </c>
      <c r="N163" s="4">
        <v>46079</v>
      </c>
      <c r="O163" t="s">
        <v>32</v>
      </c>
      <c r="P163" s="5">
        <v>1</v>
      </c>
      <c r="Q163" s="6">
        <v>31100</v>
      </c>
      <c r="R163" s="6">
        <v>37931.69</v>
      </c>
      <c r="S163">
        <v>4</v>
      </c>
      <c r="T163">
        <f t="shared" si="4"/>
        <v>0</v>
      </c>
      <c r="U163">
        <f>IF(COUNTIFS($B$2:B163,B163,$F$2:F163,F163)=1,1,0)</f>
        <v>0</v>
      </c>
      <c r="V163" s="13">
        <f t="shared" si="5"/>
        <v>-6831.6900000000023</v>
      </c>
    </row>
    <row r="164" spans="1:22">
      <c r="A164" t="s">
        <v>340</v>
      </c>
      <c r="B164" t="s">
        <v>107</v>
      </c>
      <c r="C164" t="s">
        <v>108</v>
      </c>
      <c r="D164" t="s">
        <v>73</v>
      </c>
      <c r="E164" t="s">
        <v>74</v>
      </c>
      <c r="F164" t="s">
        <v>26</v>
      </c>
      <c r="G164" t="s">
        <v>76</v>
      </c>
      <c r="H164" t="s">
        <v>326</v>
      </c>
      <c r="I164" t="s">
        <v>69</v>
      </c>
      <c r="J164" t="s">
        <v>29</v>
      </c>
      <c r="K164" t="s">
        <v>31</v>
      </c>
      <c r="L164" s="4">
        <v>45959</v>
      </c>
      <c r="M164" s="4">
        <v>45969</v>
      </c>
      <c r="N164" s="4">
        <v>45970</v>
      </c>
      <c r="O164" t="s">
        <v>32</v>
      </c>
      <c r="P164" s="5">
        <v>1</v>
      </c>
      <c r="Q164" s="6">
        <v>17400</v>
      </c>
      <c r="R164" s="6">
        <v>15912.04</v>
      </c>
      <c r="S164">
        <v>3</v>
      </c>
      <c r="T164">
        <f t="shared" si="4"/>
        <v>1</v>
      </c>
      <c r="U164">
        <f>IF(COUNTIFS($B$2:B164,B164,$F$2:F164,F164)=1,1,0)</f>
        <v>0</v>
      </c>
      <c r="V164" s="13">
        <f t="shared" si="5"/>
        <v>1487.9599999999991</v>
      </c>
    </row>
    <row r="165" spans="1:22">
      <c r="A165" t="s">
        <v>341</v>
      </c>
      <c r="B165" t="s">
        <v>111</v>
      </c>
      <c r="C165" t="s">
        <v>112</v>
      </c>
      <c r="D165" t="s">
        <v>82</v>
      </c>
      <c r="E165" t="s">
        <v>83</v>
      </c>
      <c r="F165" t="s">
        <v>38</v>
      </c>
      <c r="G165" t="s">
        <v>84</v>
      </c>
      <c r="H165" t="s">
        <v>328</v>
      </c>
      <c r="I165" t="s">
        <v>69</v>
      </c>
      <c r="J165" t="s">
        <v>29</v>
      </c>
      <c r="K165" t="s">
        <v>178</v>
      </c>
      <c r="L165" s="4">
        <v>45802</v>
      </c>
      <c r="M165" s="4">
        <v>45819</v>
      </c>
      <c r="N165" s="4">
        <v>45813</v>
      </c>
      <c r="O165" t="s">
        <v>32</v>
      </c>
      <c r="P165" s="5">
        <v>1</v>
      </c>
      <c r="Q165" s="6">
        <v>18800</v>
      </c>
      <c r="R165" s="6">
        <v>18038.53</v>
      </c>
      <c r="S165">
        <v>1</v>
      </c>
      <c r="T165">
        <f t="shared" si="4"/>
        <v>0</v>
      </c>
      <c r="U165">
        <f>IF(COUNTIFS($B$2:B165,B165,$F$2:F165,F165)=1,1,0)</f>
        <v>0</v>
      </c>
      <c r="V165" s="13">
        <f t="shared" si="5"/>
        <v>761.47000000000116</v>
      </c>
    </row>
    <row r="166" spans="1:22">
      <c r="A166" t="s">
        <v>342</v>
      </c>
      <c r="B166" t="s">
        <v>114</v>
      </c>
      <c r="C166" t="s">
        <v>115</v>
      </c>
      <c r="D166" t="s">
        <v>24</v>
      </c>
      <c r="E166" t="s">
        <v>25</v>
      </c>
      <c r="F166" t="s">
        <v>48</v>
      </c>
      <c r="G166" t="s">
        <v>90</v>
      </c>
      <c r="H166" t="s">
        <v>330</v>
      </c>
      <c r="I166" t="s">
        <v>30</v>
      </c>
      <c r="J166" t="s">
        <v>29</v>
      </c>
      <c r="K166" t="s">
        <v>143</v>
      </c>
      <c r="L166" s="4">
        <v>46064</v>
      </c>
      <c r="M166" s="4">
        <v>46084</v>
      </c>
      <c r="N166" s="4"/>
      <c r="O166" t="s">
        <v>42</v>
      </c>
      <c r="P166" s="5">
        <v>0</v>
      </c>
      <c r="Q166" s="6">
        <v>35200</v>
      </c>
      <c r="R166" s="6">
        <v>0</v>
      </c>
      <c r="S166">
        <v>1</v>
      </c>
      <c r="T166" t="str">
        <f t="shared" si="4"/>
        <v/>
      </c>
      <c r="U166">
        <f>IF(COUNTIFS($B$2:B166,B166,$F$2:F166,F166)=1,1,0)</f>
        <v>0</v>
      </c>
      <c r="V166" s="13">
        <f t="shared" si="5"/>
        <v>35200</v>
      </c>
    </row>
    <row r="167" spans="1:22">
      <c r="A167" t="s">
        <v>343</v>
      </c>
      <c r="B167" t="s">
        <v>117</v>
      </c>
      <c r="C167" t="s">
        <v>118</v>
      </c>
      <c r="D167" t="s">
        <v>36</v>
      </c>
      <c r="E167" t="s">
        <v>37</v>
      </c>
      <c r="F167" t="s">
        <v>58</v>
      </c>
      <c r="G167" t="s">
        <v>95</v>
      </c>
      <c r="H167" t="s">
        <v>332</v>
      </c>
      <c r="I167" t="s">
        <v>69</v>
      </c>
      <c r="J167" t="s">
        <v>29</v>
      </c>
      <c r="K167" t="s">
        <v>178</v>
      </c>
      <c r="L167" s="4">
        <v>45930</v>
      </c>
      <c r="M167" s="4">
        <v>45936</v>
      </c>
      <c r="N167" s="4"/>
      <c r="O167" t="s">
        <v>42</v>
      </c>
      <c r="P167" s="5">
        <v>0</v>
      </c>
      <c r="Q167" s="6">
        <v>4700</v>
      </c>
      <c r="R167" s="6">
        <v>0</v>
      </c>
      <c r="S167">
        <v>3</v>
      </c>
      <c r="T167" t="str">
        <f t="shared" si="4"/>
        <v/>
      </c>
      <c r="U167">
        <f>IF(COUNTIFS($B$2:B167,B167,$F$2:F167,F167)=1,1,0)</f>
        <v>0</v>
      </c>
      <c r="V167" s="13">
        <f t="shared" si="5"/>
        <v>4700</v>
      </c>
    </row>
    <row r="168" spans="1:22">
      <c r="A168" t="s">
        <v>344</v>
      </c>
      <c r="B168" t="s">
        <v>120</v>
      </c>
      <c r="C168" t="s">
        <v>121</v>
      </c>
      <c r="D168" t="s">
        <v>46</v>
      </c>
      <c r="E168" t="s">
        <v>47</v>
      </c>
      <c r="F168" t="s">
        <v>66</v>
      </c>
      <c r="G168" t="s">
        <v>27</v>
      </c>
      <c r="H168" t="s">
        <v>334</v>
      </c>
      <c r="I168" t="s">
        <v>86</v>
      </c>
      <c r="J168" t="s">
        <v>29</v>
      </c>
      <c r="K168" t="s">
        <v>178</v>
      </c>
      <c r="L168" s="4">
        <v>45760</v>
      </c>
      <c r="M168" s="4">
        <v>45784</v>
      </c>
      <c r="N168" s="4"/>
      <c r="O168" t="s">
        <v>52</v>
      </c>
      <c r="P168" s="5">
        <v>0.25</v>
      </c>
      <c r="Q168" s="6">
        <v>25400</v>
      </c>
      <c r="R168" s="6">
        <v>29813.56</v>
      </c>
      <c r="S168">
        <v>1</v>
      </c>
      <c r="T168" t="str">
        <f t="shared" si="4"/>
        <v/>
      </c>
      <c r="U168">
        <f>IF(COUNTIFS($B$2:B168,B168,$F$2:F168,F168)=1,1,0)</f>
        <v>0</v>
      </c>
      <c r="V168" s="13">
        <f t="shared" si="5"/>
        <v>-4413.5600000000013</v>
      </c>
    </row>
    <row r="169" spans="1:22">
      <c r="A169" t="s">
        <v>345</v>
      </c>
      <c r="B169" t="s">
        <v>123</v>
      </c>
      <c r="C169" t="s">
        <v>124</v>
      </c>
      <c r="D169" t="s">
        <v>56</v>
      </c>
      <c r="E169" t="s">
        <v>57</v>
      </c>
      <c r="F169" t="s">
        <v>75</v>
      </c>
      <c r="G169" t="s">
        <v>39</v>
      </c>
      <c r="H169" t="s">
        <v>336</v>
      </c>
      <c r="I169" t="s">
        <v>29</v>
      </c>
      <c r="J169" t="s">
        <v>29</v>
      </c>
      <c r="K169" t="s">
        <v>78</v>
      </c>
      <c r="L169" s="4">
        <v>45722</v>
      </c>
      <c r="M169" s="4">
        <v>45750</v>
      </c>
      <c r="N169" s="4"/>
      <c r="O169" t="s">
        <v>52</v>
      </c>
      <c r="P169" s="5">
        <v>0.4</v>
      </c>
      <c r="Q169" s="6">
        <v>6800</v>
      </c>
      <c r="R169" s="6">
        <v>7547.5</v>
      </c>
      <c r="S169">
        <v>2</v>
      </c>
      <c r="T169" t="str">
        <f t="shared" si="4"/>
        <v/>
      </c>
      <c r="U169">
        <f>IF(COUNTIFS($B$2:B169,B169,$F$2:F169,F169)=1,1,0)</f>
        <v>0</v>
      </c>
      <c r="V169" s="13">
        <f t="shared" si="5"/>
        <v>-747.5</v>
      </c>
    </row>
    <row r="170" spans="1:22">
      <c r="A170" t="s">
        <v>346</v>
      </c>
      <c r="B170" t="s">
        <v>126</v>
      </c>
      <c r="C170" t="s">
        <v>127</v>
      </c>
      <c r="D170" t="s">
        <v>64</v>
      </c>
      <c r="E170" t="s">
        <v>65</v>
      </c>
      <c r="F170" t="s">
        <v>26</v>
      </c>
      <c r="G170" t="s">
        <v>49</v>
      </c>
      <c r="H170" t="s">
        <v>320</v>
      </c>
      <c r="I170" t="s">
        <v>69</v>
      </c>
      <c r="J170" t="s">
        <v>30</v>
      </c>
      <c r="K170" t="s">
        <v>143</v>
      </c>
      <c r="L170" s="4">
        <v>45804</v>
      </c>
      <c r="M170" s="4">
        <v>45821</v>
      </c>
      <c r="N170" s="4">
        <v>45827</v>
      </c>
      <c r="O170" t="s">
        <v>32</v>
      </c>
      <c r="P170" s="5">
        <v>1</v>
      </c>
      <c r="Q170" s="6">
        <v>25500</v>
      </c>
      <c r="R170" s="6">
        <v>25101.59</v>
      </c>
      <c r="S170">
        <v>1</v>
      </c>
      <c r="T170">
        <f t="shared" si="4"/>
        <v>6</v>
      </c>
      <c r="U170">
        <f>IF(COUNTIFS($B$2:B170,B170,$F$2:F170,F170)=1,1,0)</f>
        <v>0</v>
      </c>
      <c r="V170" s="13">
        <f t="shared" si="5"/>
        <v>398.40999999999985</v>
      </c>
    </row>
    <row r="171" spans="1:22">
      <c r="A171" t="s">
        <v>347</v>
      </c>
      <c r="B171" t="s">
        <v>129</v>
      </c>
      <c r="C171" t="s">
        <v>130</v>
      </c>
      <c r="D171" t="s">
        <v>73</v>
      </c>
      <c r="E171" t="s">
        <v>74</v>
      </c>
      <c r="F171" t="s">
        <v>38</v>
      </c>
      <c r="G171" t="s">
        <v>59</v>
      </c>
      <c r="H171" t="s">
        <v>322</v>
      </c>
      <c r="I171" t="s">
        <v>29</v>
      </c>
      <c r="J171" t="s">
        <v>69</v>
      </c>
      <c r="K171" t="s">
        <v>78</v>
      </c>
      <c r="L171" s="4">
        <v>45908</v>
      </c>
      <c r="M171" s="4">
        <v>45924</v>
      </c>
      <c r="N171" s="4">
        <v>45927</v>
      </c>
      <c r="O171" t="s">
        <v>32</v>
      </c>
      <c r="P171" s="5">
        <v>1</v>
      </c>
      <c r="Q171" s="6">
        <v>43800</v>
      </c>
      <c r="R171" s="6">
        <v>45176.77</v>
      </c>
      <c r="S171">
        <v>2</v>
      </c>
      <c r="T171">
        <f t="shared" si="4"/>
        <v>3</v>
      </c>
      <c r="U171">
        <f>IF(COUNTIFS($B$2:B171,B171,$F$2:F171,F171)=1,1,0)</f>
        <v>0</v>
      </c>
      <c r="V171" s="13">
        <f t="shared" si="5"/>
        <v>-1376.7699999999968</v>
      </c>
    </row>
    <row r="172" spans="1:22">
      <c r="A172" t="s">
        <v>348</v>
      </c>
      <c r="B172" t="s">
        <v>132</v>
      </c>
      <c r="C172" t="s">
        <v>133</v>
      </c>
      <c r="D172" t="s">
        <v>82</v>
      </c>
      <c r="E172" t="s">
        <v>83</v>
      </c>
      <c r="F172" t="s">
        <v>48</v>
      </c>
      <c r="G172" t="s">
        <v>67</v>
      </c>
      <c r="H172" t="s">
        <v>324</v>
      </c>
      <c r="I172" t="s">
        <v>69</v>
      </c>
      <c r="J172" t="s">
        <v>30</v>
      </c>
      <c r="K172" t="s">
        <v>41</v>
      </c>
      <c r="L172" s="4">
        <v>45923</v>
      </c>
      <c r="M172" s="4">
        <v>45946</v>
      </c>
      <c r="N172" s="4">
        <v>45942</v>
      </c>
      <c r="O172" t="s">
        <v>32</v>
      </c>
      <c r="P172" s="5">
        <v>1</v>
      </c>
      <c r="Q172" s="6">
        <v>34900</v>
      </c>
      <c r="R172" s="6">
        <v>38725.050000000003</v>
      </c>
      <c r="S172">
        <v>2</v>
      </c>
      <c r="T172">
        <f t="shared" si="4"/>
        <v>0</v>
      </c>
      <c r="U172">
        <f>IF(COUNTIFS($B$2:B172,B172,$F$2:F172,F172)=1,1,0)</f>
        <v>0</v>
      </c>
      <c r="V172" s="13">
        <f t="shared" si="5"/>
        <v>-3825.0500000000029</v>
      </c>
    </row>
    <row r="173" spans="1:22">
      <c r="A173" t="s">
        <v>349</v>
      </c>
      <c r="B173" t="s">
        <v>135</v>
      </c>
      <c r="C173" t="s">
        <v>136</v>
      </c>
      <c r="D173" t="s">
        <v>24</v>
      </c>
      <c r="E173" t="s">
        <v>25</v>
      </c>
      <c r="F173" t="s">
        <v>58</v>
      </c>
      <c r="G173" t="s">
        <v>76</v>
      </c>
      <c r="H173" t="s">
        <v>326</v>
      </c>
      <c r="I173" t="s">
        <v>69</v>
      </c>
      <c r="J173" t="s">
        <v>29</v>
      </c>
      <c r="K173" t="s">
        <v>143</v>
      </c>
      <c r="L173" s="4">
        <v>45998</v>
      </c>
      <c r="M173" s="4">
        <v>46006</v>
      </c>
      <c r="N173" s="4"/>
      <c r="O173" t="s">
        <v>42</v>
      </c>
      <c r="P173" s="5">
        <v>0</v>
      </c>
      <c r="Q173" s="6">
        <v>42200</v>
      </c>
      <c r="R173" s="6">
        <v>0</v>
      </c>
      <c r="S173">
        <v>5</v>
      </c>
      <c r="T173" t="str">
        <f t="shared" si="4"/>
        <v/>
      </c>
      <c r="U173">
        <f>IF(COUNTIFS($B$2:B173,B173,$F$2:F173,F173)=1,1,0)</f>
        <v>0</v>
      </c>
      <c r="V173" s="13">
        <f t="shared" si="5"/>
        <v>42200</v>
      </c>
    </row>
    <row r="174" spans="1:22">
      <c r="A174" t="s">
        <v>350</v>
      </c>
      <c r="B174" t="s">
        <v>138</v>
      </c>
      <c r="C174" t="s">
        <v>139</v>
      </c>
      <c r="D174" t="s">
        <v>36</v>
      </c>
      <c r="E174" t="s">
        <v>37</v>
      </c>
      <c r="F174" t="s">
        <v>66</v>
      </c>
      <c r="G174" t="s">
        <v>84</v>
      </c>
      <c r="H174" t="s">
        <v>328</v>
      </c>
      <c r="I174" t="s">
        <v>29</v>
      </c>
      <c r="J174" t="s">
        <v>30</v>
      </c>
      <c r="K174" t="s">
        <v>31</v>
      </c>
      <c r="L174" s="4">
        <v>46021</v>
      </c>
      <c r="M174" s="4">
        <v>46044</v>
      </c>
      <c r="N174" s="4"/>
      <c r="O174" t="s">
        <v>109</v>
      </c>
      <c r="P174" s="5">
        <v>0.3</v>
      </c>
      <c r="Q174" s="6">
        <v>6900</v>
      </c>
      <c r="R174" s="6">
        <v>6732.6</v>
      </c>
      <c r="S174">
        <v>3</v>
      </c>
      <c r="T174" t="str">
        <f t="shared" si="4"/>
        <v/>
      </c>
      <c r="U174">
        <f>IF(COUNTIFS($B$2:B174,B174,$F$2:F174,F174)=1,1,0)</f>
        <v>0</v>
      </c>
      <c r="V174" s="13">
        <f t="shared" si="5"/>
        <v>167.39999999999964</v>
      </c>
    </row>
    <row r="175" spans="1:22">
      <c r="A175" t="s">
        <v>351</v>
      </c>
      <c r="B175" t="s">
        <v>141</v>
      </c>
      <c r="C175" t="s">
        <v>142</v>
      </c>
      <c r="D175" t="s">
        <v>46</v>
      </c>
      <c r="E175" t="s">
        <v>47</v>
      </c>
      <c r="F175" t="s">
        <v>75</v>
      </c>
      <c r="G175" t="s">
        <v>90</v>
      </c>
      <c r="H175" t="s">
        <v>330</v>
      </c>
      <c r="I175" t="s">
        <v>29</v>
      </c>
      <c r="J175" t="s">
        <v>30</v>
      </c>
      <c r="K175" t="s">
        <v>178</v>
      </c>
      <c r="L175" s="4">
        <v>45715</v>
      </c>
      <c r="M175" s="4">
        <v>45723</v>
      </c>
      <c r="N175" s="4">
        <v>45723</v>
      </c>
      <c r="O175" t="s">
        <v>32</v>
      </c>
      <c r="P175" s="5">
        <v>1</v>
      </c>
      <c r="Q175" s="6">
        <v>38200</v>
      </c>
      <c r="R175" s="6">
        <v>33332.879999999997</v>
      </c>
      <c r="S175">
        <v>0</v>
      </c>
      <c r="T175">
        <f t="shared" si="4"/>
        <v>0</v>
      </c>
      <c r="U175">
        <f>IF(COUNTIFS($B$2:B175,B175,$F$2:F175,F175)=1,1,0)</f>
        <v>0</v>
      </c>
      <c r="V175" s="13">
        <f t="shared" si="5"/>
        <v>4867.1200000000026</v>
      </c>
    </row>
    <row r="176" spans="1:22">
      <c r="A176" t="s">
        <v>352</v>
      </c>
      <c r="B176" t="s">
        <v>145</v>
      </c>
      <c r="C176" t="s">
        <v>146</v>
      </c>
      <c r="D176" t="s">
        <v>56</v>
      </c>
      <c r="E176" t="s">
        <v>57</v>
      </c>
      <c r="F176" t="s">
        <v>26</v>
      </c>
      <c r="G176" t="s">
        <v>95</v>
      </c>
      <c r="H176" t="s">
        <v>332</v>
      </c>
      <c r="I176" t="s">
        <v>30</v>
      </c>
      <c r="J176" t="s">
        <v>30</v>
      </c>
      <c r="K176" t="s">
        <v>51</v>
      </c>
      <c r="L176" s="4">
        <v>46097</v>
      </c>
      <c r="M176" s="4">
        <v>46108</v>
      </c>
      <c r="N176" s="4">
        <v>46105</v>
      </c>
      <c r="O176" t="s">
        <v>32</v>
      </c>
      <c r="P176" s="5">
        <v>1</v>
      </c>
      <c r="Q176" s="6">
        <v>34900</v>
      </c>
      <c r="R176" s="6">
        <v>30853.47</v>
      </c>
      <c r="S176">
        <v>2</v>
      </c>
      <c r="T176">
        <f t="shared" si="4"/>
        <v>0</v>
      </c>
      <c r="U176">
        <f>IF(COUNTIFS($B$2:B176,B176,$F$2:F176,F176)=1,1,0)</f>
        <v>0</v>
      </c>
      <c r="V176" s="13">
        <f t="shared" si="5"/>
        <v>4046.5299999999988</v>
      </c>
    </row>
    <row r="177" spans="1:22">
      <c r="A177" t="s">
        <v>353</v>
      </c>
      <c r="B177" t="s">
        <v>148</v>
      </c>
      <c r="C177" t="s">
        <v>149</v>
      </c>
      <c r="D177" t="s">
        <v>64</v>
      </c>
      <c r="E177" t="s">
        <v>65</v>
      </c>
      <c r="F177" t="s">
        <v>38</v>
      </c>
      <c r="G177" t="s">
        <v>27</v>
      </c>
      <c r="H177" t="s">
        <v>334</v>
      </c>
      <c r="I177" t="s">
        <v>29</v>
      </c>
      <c r="J177" t="s">
        <v>29</v>
      </c>
      <c r="K177" t="s">
        <v>31</v>
      </c>
      <c r="L177" s="4">
        <v>45841</v>
      </c>
      <c r="M177" s="4">
        <v>45859</v>
      </c>
      <c r="N177" s="4"/>
      <c r="O177" t="s">
        <v>52</v>
      </c>
      <c r="P177" s="5">
        <v>0.9</v>
      </c>
      <c r="Q177" s="6">
        <v>31300</v>
      </c>
      <c r="R177" s="6">
        <v>31532.42</v>
      </c>
      <c r="S177">
        <v>2</v>
      </c>
      <c r="T177" t="str">
        <f t="shared" si="4"/>
        <v/>
      </c>
      <c r="U177">
        <f>IF(COUNTIFS($B$2:B177,B177,$F$2:F177,F177)=1,1,0)</f>
        <v>0</v>
      </c>
      <c r="V177" s="13">
        <f t="shared" si="5"/>
        <v>-232.41999999999825</v>
      </c>
    </row>
    <row r="178" spans="1:22">
      <c r="A178" t="s">
        <v>354</v>
      </c>
      <c r="B178" t="s">
        <v>151</v>
      </c>
      <c r="C178" t="s">
        <v>152</v>
      </c>
      <c r="D178" t="s">
        <v>73</v>
      </c>
      <c r="E178" t="s">
        <v>74</v>
      </c>
      <c r="F178" t="s">
        <v>48</v>
      </c>
      <c r="G178" t="s">
        <v>39</v>
      </c>
      <c r="H178" t="s">
        <v>336</v>
      </c>
      <c r="I178" t="s">
        <v>30</v>
      </c>
      <c r="J178" t="s">
        <v>30</v>
      </c>
      <c r="K178" t="s">
        <v>143</v>
      </c>
      <c r="L178" s="4">
        <v>46081</v>
      </c>
      <c r="M178" s="4">
        <v>46094</v>
      </c>
      <c r="N178" s="4">
        <v>46092</v>
      </c>
      <c r="O178" t="s">
        <v>32</v>
      </c>
      <c r="P178" s="5">
        <v>1</v>
      </c>
      <c r="Q178" s="6">
        <v>33400</v>
      </c>
      <c r="R178" s="6">
        <v>39470.410000000003</v>
      </c>
      <c r="S178">
        <v>3</v>
      </c>
      <c r="T178">
        <f t="shared" si="4"/>
        <v>0</v>
      </c>
      <c r="U178">
        <f>IF(COUNTIFS($B$2:B178,B178,$F$2:F178,F178)=1,1,0)</f>
        <v>0</v>
      </c>
      <c r="V178" s="13">
        <f t="shared" si="5"/>
        <v>-6070.4100000000035</v>
      </c>
    </row>
    <row r="179" spans="1:22">
      <c r="A179" t="s">
        <v>355</v>
      </c>
      <c r="B179" t="s">
        <v>154</v>
      </c>
      <c r="C179" t="s">
        <v>155</v>
      </c>
      <c r="D179" t="s">
        <v>82</v>
      </c>
      <c r="E179" t="s">
        <v>83</v>
      </c>
      <c r="F179" t="s">
        <v>58</v>
      </c>
      <c r="G179" t="s">
        <v>49</v>
      </c>
      <c r="H179" t="s">
        <v>320</v>
      </c>
      <c r="I179" t="s">
        <v>29</v>
      </c>
      <c r="J179" t="s">
        <v>30</v>
      </c>
      <c r="K179" t="s">
        <v>143</v>
      </c>
      <c r="L179" s="4">
        <v>46076</v>
      </c>
      <c r="M179" s="4">
        <v>46086</v>
      </c>
      <c r="N179" s="4">
        <v>46073</v>
      </c>
      <c r="O179" t="s">
        <v>32</v>
      </c>
      <c r="P179" s="5">
        <v>1</v>
      </c>
      <c r="Q179" s="6">
        <v>13100</v>
      </c>
      <c r="R179" s="6">
        <v>13370.5</v>
      </c>
      <c r="S179">
        <v>2</v>
      </c>
      <c r="T179">
        <f t="shared" si="4"/>
        <v>0</v>
      </c>
      <c r="U179">
        <f>IF(COUNTIFS($B$2:B179,B179,$F$2:F179,F179)=1,1,0)</f>
        <v>0</v>
      </c>
      <c r="V179" s="13">
        <f t="shared" si="5"/>
        <v>-270.5</v>
      </c>
    </row>
    <row r="180" spans="1:22">
      <c r="A180" t="s">
        <v>356</v>
      </c>
      <c r="B180" t="s">
        <v>157</v>
      </c>
      <c r="C180" t="s">
        <v>158</v>
      </c>
      <c r="D180" t="s">
        <v>24</v>
      </c>
      <c r="E180" t="s">
        <v>25</v>
      </c>
      <c r="F180" t="s">
        <v>66</v>
      </c>
      <c r="G180" t="s">
        <v>59</v>
      </c>
      <c r="H180" t="s">
        <v>322</v>
      </c>
      <c r="I180" t="s">
        <v>29</v>
      </c>
      <c r="J180" t="s">
        <v>30</v>
      </c>
      <c r="K180" t="s">
        <v>51</v>
      </c>
      <c r="L180" s="4">
        <v>46085</v>
      </c>
      <c r="M180" s="4">
        <v>46115</v>
      </c>
      <c r="N180" s="4">
        <v>46123</v>
      </c>
      <c r="O180" t="s">
        <v>32</v>
      </c>
      <c r="P180" s="5">
        <v>1</v>
      </c>
      <c r="Q180" s="6">
        <v>32900</v>
      </c>
      <c r="R180" s="6">
        <v>25787.72</v>
      </c>
      <c r="S180">
        <v>1</v>
      </c>
      <c r="T180">
        <f t="shared" si="4"/>
        <v>8</v>
      </c>
      <c r="U180">
        <f>IF(COUNTIFS($B$2:B180,B180,$F$2:F180,F180)=1,1,0)</f>
        <v>0</v>
      </c>
      <c r="V180" s="13">
        <f t="shared" si="5"/>
        <v>7112.2799999999988</v>
      </c>
    </row>
    <row r="181" spans="1:22">
      <c r="A181" t="s">
        <v>357</v>
      </c>
      <c r="B181" t="s">
        <v>160</v>
      </c>
      <c r="C181" t="s">
        <v>161</v>
      </c>
      <c r="D181" t="s">
        <v>36</v>
      </c>
      <c r="E181" t="s">
        <v>37</v>
      </c>
      <c r="F181" t="s">
        <v>75</v>
      </c>
      <c r="G181" t="s">
        <v>76</v>
      </c>
      <c r="H181" t="s">
        <v>326</v>
      </c>
      <c r="I181" t="s">
        <v>86</v>
      </c>
      <c r="J181" t="s">
        <v>30</v>
      </c>
      <c r="K181" t="s">
        <v>41</v>
      </c>
      <c r="L181" s="4">
        <v>46069</v>
      </c>
      <c r="M181" s="4">
        <v>46072</v>
      </c>
      <c r="N181" s="4"/>
      <c r="O181" t="s">
        <v>42</v>
      </c>
      <c r="P181" s="5">
        <v>0</v>
      </c>
      <c r="Q181" s="6">
        <v>18600</v>
      </c>
      <c r="R181" s="6">
        <v>0</v>
      </c>
      <c r="S181">
        <v>0</v>
      </c>
      <c r="T181" t="str">
        <f t="shared" si="4"/>
        <v/>
      </c>
      <c r="U181">
        <f>IF(COUNTIFS($B$2:B181,B181,$F$2:F181,F181)=1,1,0)</f>
        <v>0</v>
      </c>
      <c r="V181" s="13">
        <f t="shared" si="5"/>
        <v>18600</v>
      </c>
    </row>
    <row r="182" spans="1:22">
      <c r="A182" t="s">
        <v>358</v>
      </c>
      <c r="B182" t="s">
        <v>22</v>
      </c>
      <c r="C182" t="s">
        <v>23</v>
      </c>
      <c r="D182" t="s">
        <v>24</v>
      </c>
      <c r="E182" t="s">
        <v>25</v>
      </c>
      <c r="F182" t="s">
        <v>26</v>
      </c>
      <c r="G182" t="s">
        <v>84</v>
      </c>
      <c r="H182" t="s">
        <v>359</v>
      </c>
      <c r="I182" t="s">
        <v>69</v>
      </c>
      <c r="J182" t="s">
        <v>30</v>
      </c>
      <c r="K182" t="s">
        <v>31</v>
      </c>
      <c r="L182" s="4">
        <v>46110</v>
      </c>
      <c r="M182" s="4">
        <v>46122</v>
      </c>
      <c r="N182" s="4">
        <v>46125</v>
      </c>
      <c r="O182" t="s">
        <v>32</v>
      </c>
      <c r="P182" s="5">
        <v>1</v>
      </c>
      <c r="Q182" s="6">
        <v>38400</v>
      </c>
      <c r="R182" s="6">
        <v>31237.71</v>
      </c>
      <c r="S182">
        <v>2</v>
      </c>
      <c r="T182">
        <f t="shared" si="4"/>
        <v>3</v>
      </c>
      <c r="U182">
        <f>IF(COUNTIFS($B$2:B182,B182,$F$2:F182,F182)=1,1,0)</f>
        <v>0</v>
      </c>
      <c r="V182" s="13">
        <f t="shared" si="5"/>
        <v>7162.2900000000009</v>
      </c>
    </row>
    <row r="183" spans="1:22">
      <c r="A183" t="s">
        <v>360</v>
      </c>
      <c r="B183" t="s">
        <v>34</v>
      </c>
      <c r="C183" t="s">
        <v>35</v>
      </c>
      <c r="D183" t="s">
        <v>36</v>
      </c>
      <c r="E183" t="s">
        <v>37</v>
      </c>
      <c r="F183" t="s">
        <v>38</v>
      </c>
      <c r="G183" t="s">
        <v>90</v>
      </c>
      <c r="H183" t="s">
        <v>361</v>
      </c>
      <c r="I183" t="s">
        <v>69</v>
      </c>
      <c r="J183" t="s">
        <v>29</v>
      </c>
      <c r="K183" t="s">
        <v>31</v>
      </c>
      <c r="L183" s="4">
        <v>45822</v>
      </c>
      <c r="M183" s="4">
        <v>45826</v>
      </c>
      <c r="N183" s="4">
        <v>45831</v>
      </c>
      <c r="O183" t="s">
        <v>32</v>
      </c>
      <c r="P183" s="5">
        <v>1</v>
      </c>
      <c r="Q183" s="6">
        <v>4700</v>
      </c>
      <c r="R183" s="6">
        <v>5411</v>
      </c>
      <c r="S183">
        <v>0</v>
      </c>
      <c r="T183">
        <f t="shared" si="4"/>
        <v>5</v>
      </c>
      <c r="U183">
        <f>IF(COUNTIFS($B$2:B183,B183,$F$2:F183,F183)=1,1,0)</f>
        <v>0</v>
      </c>
      <c r="V183" s="13">
        <f t="shared" si="5"/>
        <v>-711</v>
      </c>
    </row>
    <row r="184" spans="1:22">
      <c r="A184" t="s">
        <v>362</v>
      </c>
      <c r="B184" t="s">
        <v>44</v>
      </c>
      <c r="C184" t="s">
        <v>45</v>
      </c>
      <c r="D184" t="s">
        <v>46</v>
      </c>
      <c r="E184" t="s">
        <v>47</v>
      </c>
      <c r="F184" t="s">
        <v>48</v>
      </c>
      <c r="G184" t="s">
        <v>95</v>
      </c>
      <c r="H184" t="s">
        <v>363</v>
      </c>
      <c r="I184" t="s">
        <v>29</v>
      </c>
      <c r="J184" t="s">
        <v>69</v>
      </c>
      <c r="K184" t="s">
        <v>78</v>
      </c>
      <c r="L184" s="4">
        <v>45705</v>
      </c>
      <c r="M184" s="4">
        <v>45712</v>
      </c>
      <c r="N184" s="4"/>
      <c r="O184" t="s">
        <v>32</v>
      </c>
      <c r="P184" s="5">
        <v>0.5</v>
      </c>
      <c r="Q184" s="6">
        <v>17700</v>
      </c>
      <c r="R184" s="6">
        <v>18850.490000000002</v>
      </c>
      <c r="S184">
        <v>5</v>
      </c>
      <c r="T184" t="str">
        <f t="shared" si="4"/>
        <v/>
      </c>
      <c r="U184">
        <f>IF(COUNTIFS($B$2:B184,B184,$F$2:F184,F184)=1,1,0)</f>
        <v>0</v>
      </c>
      <c r="V184" s="13">
        <f t="shared" si="5"/>
        <v>-1150.4900000000016</v>
      </c>
    </row>
    <row r="185" spans="1:22">
      <c r="A185" t="s">
        <v>364</v>
      </c>
      <c r="B185" t="s">
        <v>54</v>
      </c>
      <c r="C185" t="s">
        <v>55</v>
      </c>
      <c r="D185" t="s">
        <v>56</v>
      </c>
      <c r="E185" t="s">
        <v>57</v>
      </c>
      <c r="F185" t="s">
        <v>58</v>
      </c>
      <c r="G185" t="s">
        <v>27</v>
      </c>
      <c r="H185" t="s">
        <v>365</v>
      </c>
      <c r="I185" t="s">
        <v>29</v>
      </c>
      <c r="J185" t="s">
        <v>30</v>
      </c>
      <c r="K185" t="s">
        <v>51</v>
      </c>
      <c r="L185" s="4">
        <v>46144</v>
      </c>
      <c r="M185" s="4">
        <v>46163</v>
      </c>
      <c r="N185" s="4"/>
      <c r="O185" t="s">
        <v>32</v>
      </c>
      <c r="P185" s="5">
        <v>0</v>
      </c>
      <c r="Q185" s="6">
        <v>3200</v>
      </c>
      <c r="R185" s="6">
        <v>0</v>
      </c>
      <c r="S185">
        <v>1</v>
      </c>
      <c r="T185" t="str">
        <f t="shared" si="4"/>
        <v/>
      </c>
      <c r="U185">
        <f>IF(COUNTIFS($B$2:B185,B185,$F$2:F185,F185)=1,1,0)</f>
        <v>0</v>
      </c>
      <c r="V185" s="13">
        <f t="shared" si="5"/>
        <v>3200</v>
      </c>
    </row>
    <row r="186" spans="1:22">
      <c r="A186" t="s">
        <v>366</v>
      </c>
      <c r="B186" t="s">
        <v>62</v>
      </c>
      <c r="C186" t="s">
        <v>63</v>
      </c>
      <c r="D186" t="s">
        <v>64</v>
      </c>
      <c r="E186" t="s">
        <v>65</v>
      </c>
      <c r="F186" t="s">
        <v>66</v>
      </c>
      <c r="G186" t="s">
        <v>39</v>
      </c>
      <c r="H186" t="s">
        <v>367</v>
      </c>
      <c r="I186" t="s">
        <v>29</v>
      </c>
      <c r="J186" t="s">
        <v>30</v>
      </c>
      <c r="K186" t="s">
        <v>178</v>
      </c>
      <c r="L186" s="4">
        <v>45838</v>
      </c>
      <c r="M186" s="4">
        <v>45851</v>
      </c>
      <c r="N186" s="4">
        <v>45841</v>
      </c>
      <c r="O186" t="s">
        <v>32</v>
      </c>
      <c r="P186" s="5">
        <v>1</v>
      </c>
      <c r="Q186" s="6">
        <v>15400</v>
      </c>
      <c r="R186" s="6">
        <v>13873.45</v>
      </c>
      <c r="S186">
        <v>2</v>
      </c>
      <c r="T186">
        <f t="shared" si="4"/>
        <v>0</v>
      </c>
      <c r="U186">
        <f>IF(COUNTIFS($B$2:B186,B186,$F$2:F186,F186)=1,1,0)</f>
        <v>0</v>
      </c>
      <c r="V186" s="13">
        <f t="shared" si="5"/>
        <v>1526.5499999999993</v>
      </c>
    </row>
    <row r="187" spans="1:22">
      <c r="A187" t="s">
        <v>368</v>
      </c>
      <c r="B187" t="s">
        <v>71</v>
      </c>
      <c r="C187" t="s">
        <v>72</v>
      </c>
      <c r="D187" t="s">
        <v>73</v>
      </c>
      <c r="E187" t="s">
        <v>74</v>
      </c>
      <c r="F187" t="s">
        <v>75</v>
      </c>
      <c r="G187" t="s">
        <v>49</v>
      </c>
      <c r="H187" t="s">
        <v>369</v>
      </c>
      <c r="I187" t="s">
        <v>69</v>
      </c>
      <c r="J187" t="s">
        <v>29</v>
      </c>
      <c r="K187" t="s">
        <v>143</v>
      </c>
      <c r="L187" s="4">
        <v>45918</v>
      </c>
      <c r="M187" s="4">
        <v>45938</v>
      </c>
      <c r="N187" s="4">
        <v>45933</v>
      </c>
      <c r="O187" t="s">
        <v>32</v>
      </c>
      <c r="P187" s="5">
        <v>1</v>
      </c>
      <c r="Q187" s="6">
        <v>2200</v>
      </c>
      <c r="R187" s="6">
        <v>2138.21</v>
      </c>
      <c r="S187">
        <v>1</v>
      </c>
      <c r="T187">
        <f t="shared" si="4"/>
        <v>0</v>
      </c>
      <c r="U187">
        <f>IF(COUNTIFS($B$2:B187,B187,$F$2:F187,F187)=1,1,0)</f>
        <v>0</v>
      </c>
      <c r="V187" s="13">
        <f t="shared" si="5"/>
        <v>61.789999999999964</v>
      </c>
    </row>
    <row r="188" spans="1:22">
      <c r="A188" t="s">
        <v>370</v>
      </c>
      <c r="B188" t="s">
        <v>80</v>
      </c>
      <c r="C188" t="s">
        <v>81</v>
      </c>
      <c r="D188" t="s">
        <v>82</v>
      </c>
      <c r="E188" t="s">
        <v>83</v>
      </c>
      <c r="F188" t="s">
        <v>26</v>
      </c>
      <c r="G188" t="s">
        <v>59</v>
      </c>
      <c r="H188" t="s">
        <v>371</v>
      </c>
      <c r="I188" t="s">
        <v>29</v>
      </c>
      <c r="J188" t="s">
        <v>30</v>
      </c>
      <c r="K188" t="s">
        <v>178</v>
      </c>
      <c r="L188" s="4">
        <v>45783</v>
      </c>
      <c r="M188" s="4">
        <v>45805</v>
      </c>
      <c r="N188" s="4">
        <v>45810</v>
      </c>
      <c r="O188" t="s">
        <v>32</v>
      </c>
      <c r="P188" s="5">
        <v>1</v>
      </c>
      <c r="Q188" s="6">
        <v>43600</v>
      </c>
      <c r="R188" s="6">
        <v>46175.38</v>
      </c>
      <c r="S188">
        <v>0</v>
      </c>
      <c r="T188">
        <f t="shared" si="4"/>
        <v>5</v>
      </c>
      <c r="U188">
        <f>IF(COUNTIFS($B$2:B188,B188,$F$2:F188,F188)=1,1,0)</f>
        <v>0</v>
      </c>
      <c r="V188" s="13">
        <f t="shared" si="5"/>
        <v>-2575.3799999999974</v>
      </c>
    </row>
    <row r="189" spans="1:22">
      <c r="A189" t="s">
        <v>372</v>
      </c>
      <c r="B189" t="s">
        <v>88</v>
      </c>
      <c r="C189" t="s">
        <v>89</v>
      </c>
      <c r="D189" t="s">
        <v>24</v>
      </c>
      <c r="E189" t="s">
        <v>25</v>
      </c>
      <c r="F189" t="s">
        <v>38</v>
      </c>
      <c r="G189" t="s">
        <v>67</v>
      </c>
      <c r="H189" t="s">
        <v>373</v>
      </c>
      <c r="I189" t="s">
        <v>69</v>
      </c>
      <c r="J189" t="s">
        <v>29</v>
      </c>
      <c r="K189" t="s">
        <v>51</v>
      </c>
      <c r="L189" s="4">
        <v>45777</v>
      </c>
      <c r="M189" s="4">
        <v>45796</v>
      </c>
      <c r="N189" s="4">
        <v>45788</v>
      </c>
      <c r="O189" t="s">
        <v>32</v>
      </c>
      <c r="P189" s="5">
        <v>1</v>
      </c>
      <c r="Q189" s="6">
        <v>7900</v>
      </c>
      <c r="R189" s="6">
        <v>6918.89</v>
      </c>
      <c r="S189">
        <v>2</v>
      </c>
      <c r="T189">
        <f t="shared" si="4"/>
        <v>0</v>
      </c>
      <c r="U189">
        <f>IF(COUNTIFS($B$2:B189,B189,$F$2:F189,F189)=1,1,0)</f>
        <v>0</v>
      </c>
      <c r="V189" s="13">
        <f t="shared" si="5"/>
        <v>981.10999999999967</v>
      </c>
    </row>
    <row r="190" spans="1:22">
      <c r="A190" t="s">
        <v>374</v>
      </c>
      <c r="B190" t="s">
        <v>93</v>
      </c>
      <c r="C190" t="s">
        <v>94</v>
      </c>
      <c r="D190" t="s">
        <v>36</v>
      </c>
      <c r="E190" t="s">
        <v>37</v>
      </c>
      <c r="F190" t="s">
        <v>48</v>
      </c>
      <c r="G190" t="s">
        <v>76</v>
      </c>
      <c r="H190" t="s">
        <v>375</v>
      </c>
      <c r="I190" t="s">
        <v>86</v>
      </c>
      <c r="J190" t="s">
        <v>30</v>
      </c>
      <c r="K190" t="s">
        <v>31</v>
      </c>
      <c r="L190" s="4">
        <v>46120</v>
      </c>
      <c r="M190" s="4">
        <v>46136</v>
      </c>
      <c r="N190" s="4"/>
      <c r="O190" t="s">
        <v>42</v>
      </c>
      <c r="P190" s="5">
        <v>0</v>
      </c>
      <c r="Q190" s="6">
        <v>31500</v>
      </c>
      <c r="R190" s="6">
        <v>0</v>
      </c>
      <c r="S190">
        <v>0</v>
      </c>
      <c r="T190" t="str">
        <f t="shared" si="4"/>
        <v/>
      </c>
      <c r="U190">
        <f>IF(COUNTIFS($B$2:B190,B190,$F$2:F190,F190)=1,1,0)</f>
        <v>0</v>
      </c>
      <c r="V190" s="13">
        <f t="shared" si="5"/>
        <v>31500</v>
      </c>
    </row>
    <row r="191" spans="1:22">
      <c r="A191" t="s">
        <v>376</v>
      </c>
      <c r="B191" t="s">
        <v>98</v>
      </c>
      <c r="C191" t="s">
        <v>99</v>
      </c>
      <c r="D191" t="s">
        <v>46</v>
      </c>
      <c r="E191" t="s">
        <v>47</v>
      </c>
      <c r="F191" t="s">
        <v>58</v>
      </c>
      <c r="G191" t="s">
        <v>84</v>
      </c>
      <c r="H191" t="s">
        <v>359</v>
      </c>
      <c r="I191" t="s">
        <v>86</v>
      </c>
      <c r="J191" t="s">
        <v>69</v>
      </c>
      <c r="K191" t="s">
        <v>78</v>
      </c>
      <c r="L191" s="4">
        <v>45730</v>
      </c>
      <c r="M191" s="4">
        <v>45755</v>
      </c>
      <c r="N191" s="4"/>
      <c r="O191" t="s">
        <v>42</v>
      </c>
      <c r="P191" s="5">
        <v>0</v>
      </c>
      <c r="Q191" s="6">
        <v>10500</v>
      </c>
      <c r="R191" s="6">
        <v>0</v>
      </c>
      <c r="S191">
        <v>2</v>
      </c>
      <c r="T191" t="str">
        <f t="shared" si="4"/>
        <v/>
      </c>
      <c r="U191">
        <f>IF(COUNTIFS($B$2:B191,B191,$F$2:F191,F191)=1,1,0)</f>
        <v>0</v>
      </c>
      <c r="V191" s="13">
        <f t="shared" si="5"/>
        <v>10500</v>
      </c>
    </row>
    <row r="192" spans="1:22">
      <c r="A192" t="s">
        <v>377</v>
      </c>
      <c r="B192" t="s">
        <v>101</v>
      </c>
      <c r="C192" t="s">
        <v>102</v>
      </c>
      <c r="D192" t="s">
        <v>56</v>
      </c>
      <c r="E192" t="s">
        <v>57</v>
      </c>
      <c r="F192" t="s">
        <v>66</v>
      </c>
      <c r="G192" t="s">
        <v>90</v>
      </c>
      <c r="H192" t="s">
        <v>361</v>
      </c>
      <c r="I192" t="s">
        <v>29</v>
      </c>
      <c r="J192" t="s">
        <v>30</v>
      </c>
      <c r="K192" t="s">
        <v>31</v>
      </c>
      <c r="L192" s="4">
        <v>46145</v>
      </c>
      <c r="M192" s="4">
        <v>46158</v>
      </c>
      <c r="N192" s="4">
        <v>46169</v>
      </c>
      <c r="O192" t="s">
        <v>32</v>
      </c>
      <c r="P192" s="5">
        <v>1</v>
      </c>
      <c r="Q192" s="6">
        <v>30900</v>
      </c>
      <c r="R192" s="6">
        <v>34978.519999999997</v>
      </c>
      <c r="S192">
        <v>0</v>
      </c>
      <c r="T192">
        <f t="shared" si="4"/>
        <v>11</v>
      </c>
      <c r="U192">
        <f>IF(COUNTIFS($B$2:B192,B192,$F$2:F192,F192)=1,1,0)</f>
        <v>0</v>
      </c>
      <c r="V192" s="13">
        <f t="shared" si="5"/>
        <v>-4078.5199999999968</v>
      </c>
    </row>
    <row r="193" spans="1:22">
      <c r="A193" t="s">
        <v>378</v>
      </c>
      <c r="B193" t="s">
        <v>104</v>
      </c>
      <c r="C193" t="s">
        <v>105</v>
      </c>
      <c r="D193" t="s">
        <v>64</v>
      </c>
      <c r="E193" t="s">
        <v>65</v>
      </c>
      <c r="F193" t="s">
        <v>75</v>
      </c>
      <c r="G193" t="s">
        <v>95</v>
      </c>
      <c r="H193" t="s">
        <v>363</v>
      </c>
      <c r="I193" t="s">
        <v>69</v>
      </c>
      <c r="J193" t="s">
        <v>30</v>
      </c>
      <c r="K193" t="s">
        <v>143</v>
      </c>
      <c r="L193" s="4">
        <v>46105</v>
      </c>
      <c r="M193" s="4">
        <v>46116</v>
      </c>
      <c r="N193" s="4">
        <v>46121</v>
      </c>
      <c r="O193" t="s">
        <v>32</v>
      </c>
      <c r="P193" s="5">
        <v>1</v>
      </c>
      <c r="Q193" s="6">
        <v>14400</v>
      </c>
      <c r="R193" s="6">
        <v>18890.45</v>
      </c>
      <c r="S193">
        <v>1</v>
      </c>
      <c r="T193">
        <f t="shared" si="4"/>
        <v>5</v>
      </c>
      <c r="U193">
        <f>IF(COUNTIFS($B$2:B193,B193,$F$2:F193,F193)=1,1,0)</f>
        <v>0</v>
      </c>
      <c r="V193" s="13">
        <f t="shared" si="5"/>
        <v>-4490.4500000000007</v>
      </c>
    </row>
    <row r="194" spans="1:22">
      <c r="A194" t="s">
        <v>379</v>
      </c>
      <c r="B194" t="s">
        <v>107</v>
      </c>
      <c r="C194" t="s">
        <v>108</v>
      </c>
      <c r="D194" t="s">
        <v>73</v>
      </c>
      <c r="E194" t="s">
        <v>74</v>
      </c>
      <c r="F194" t="s">
        <v>26</v>
      </c>
      <c r="G194" t="s">
        <v>27</v>
      </c>
      <c r="H194" t="s">
        <v>365</v>
      </c>
      <c r="I194" t="s">
        <v>69</v>
      </c>
      <c r="J194" t="s">
        <v>30</v>
      </c>
      <c r="K194" t="s">
        <v>31</v>
      </c>
      <c r="L194" s="4">
        <v>46012</v>
      </c>
      <c r="M194" s="4">
        <v>46024</v>
      </c>
      <c r="N194" s="4"/>
      <c r="O194" t="s">
        <v>42</v>
      </c>
      <c r="P194" s="5">
        <v>0</v>
      </c>
      <c r="Q194" s="6">
        <v>30900</v>
      </c>
      <c r="R194" s="6">
        <v>0</v>
      </c>
      <c r="S194">
        <v>0</v>
      </c>
      <c r="T194" t="str">
        <f t="shared" ref="T194:T257" si="6">IF(N194="","",MAX(0,N194-M194))</f>
        <v/>
      </c>
      <c r="U194">
        <f>IF(COUNTIFS($B$2:B194,B194,$F$2:F194,F194)=1,1,0)</f>
        <v>0</v>
      </c>
      <c r="V194" s="13">
        <f t="shared" ref="V194:V257" si="7">Q194-R194</f>
        <v>30900</v>
      </c>
    </row>
    <row r="195" spans="1:22">
      <c r="A195" t="s">
        <v>380</v>
      </c>
      <c r="B195" t="s">
        <v>111</v>
      </c>
      <c r="C195" t="s">
        <v>112</v>
      </c>
      <c r="D195" t="s">
        <v>82</v>
      </c>
      <c r="E195" t="s">
        <v>83</v>
      </c>
      <c r="F195" t="s">
        <v>38</v>
      </c>
      <c r="G195" t="s">
        <v>39</v>
      </c>
      <c r="H195" t="s">
        <v>367</v>
      </c>
      <c r="I195" t="s">
        <v>69</v>
      </c>
      <c r="J195" t="s">
        <v>69</v>
      </c>
      <c r="K195" t="s">
        <v>41</v>
      </c>
      <c r="L195" s="4">
        <v>45781</v>
      </c>
      <c r="M195" s="4">
        <v>45785</v>
      </c>
      <c r="N195" s="4"/>
      <c r="O195" t="s">
        <v>52</v>
      </c>
      <c r="P195" s="5">
        <v>0.85</v>
      </c>
      <c r="Q195" s="6">
        <v>4900</v>
      </c>
      <c r="R195" s="6">
        <v>6278.24</v>
      </c>
      <c r="S195">
        <v>5</v>
      </c>
      <c r="T195" t="str">
        <f t="shared" si="6"/>
        <v/>
      </c>
      <c r="U195">
        <f>IF(COUNTIFS($B$2:B195,B195,$F$2:F195,F195)=1,1,0)</f>
        <v>0</v>
      </c>
      <c r="V195" s="13">
        <f t="shared" si="7"/>
        <v>-1378.2399999999998</v>
      </c>
    </row>
    <row r="196" spans="1:22">
      <c r="A196" t="s">
        <v>381</v>
      </c>
      <c r="B196" t="s">
        <v>114</v>
      </c>
      <c r="C196" t="s">
        <v>115</v>
      </c>
      <c r="D196" t="s">
        <v>24</v>
      </c>
      <c r="E196" t="s">
        <v>25</v>
      </c>
      <c r="F196" t="s">
        <v>48</v>
      </c>
      <c r="G196" t="s">
        <v>49</v>
      </c>
      <c r="H196" t="s">
        <v>369</v>
      </c>
      <c r="I196" t="s">
        <v>69</v>
      </c>
      <c r="J196" t="s">
        <v>30</v>
      </c>
      <c r="K196" t="s">
        <v>41</v>
      </c>
      <c r="L196" s="4">
        <v>46034</v>
      </c>
      <c r="M196" s="4">
        <v>46054</v>
      </c>
      <c r="N196" s="4">
        <v>46051</v>
      </c>
      <c r="O196" t="s">
        <v>32</v>
      </c>
      <c r="P196" s="5">
        <v>1</v>
      </c>
      <c r="Q196" s="6">
        <v>7500</v>
      </c>
      <c r="R196" s="6">
        <v>6830.29</v>
      </c>
      <c r="S196">
        <v>0</v>
      </c>
      <c r="T196">
        <f t="shared" si="6"/>
        <v>0</v>
      </c>
      <c r="U196">
        <f>IF(COUNTIFS($B$2:B196,B196,$F$2:F196,F196)=1,1,0)</f>
        <v>0</v>
      </c>
      <c r="V196" s="13">
        <f t="shared" si="7"/>
        <v>669.71</v>
      </c>
    </row>
    <row r="197" spans="1:22">
      <c r="A197" t="s">
        <v>382</v>
      </c>
      <c r="B197" t="s">
        <v>117</v>
      </c>
      <c r="C197" t="s">
        <v>118</v>
      </c>
      <c r="D197" t="s">
        <v>36</v>
      </c>
      <c r="E197" t="s">
        <v>37</v>
      </c>
      <c r="F197" t="s">
        <v>58</v>
      </c>
      <c r="G197" t="s">
        <v>59</v>
      </c>
      <c r="H197" t="s">
        <v>371</v>
      </c>
      <c r="I197" t="s">
        <v>29</v>
      </c>
      <c r="J197" t="s">
        <v>29</v>
      </c>
      <c r="K197" t="s">
        <v>143</v>
      </c>
      <c r="L197" s="4">
        <v>45938</v>
      </c>
      <c r="M197" s="4">
        <v>45942</v>
      </c>
      <c r="N197" s="4"/>
      <c r="O197" t="s">
        <v>42</v>
      </c>
      <c r="P197" s="5">
        <v>0</v>
      </c>
      <c r="Q197" s="6">
        <v>15900</v>
      </c>
      <c r="R197" s="6">
        <v>0</v>
      </c>
      <c r="S197">
        <v>2</v>
      </c>
      <c r="T197" t="str">
        <f t="shared" si="6"/>
        <v/>
      </c>
      <c r="U197">
        <f>IF(COUNTIFS($B$2:B197,B197,$F$2:F197,F197)=1,1,0)</f>
        <v>0</v>
      </c>
      <c r="V197" s="13">
        <f t="shared" si="7"/>
        <v>15900</v>
      </c>
    </row>
    <row r="198" spans="1:22">
      <c r="A198" t="s">
        <v>383</v>
      </c>
      <c r="B198" t="s">
        <v>120</v>
      </c>
      <c r="C198" t="s">
        <v>121</v>
      </c>
      <c r="D198" t="s">
        <v>46</v>
      </c>
      <c r="E198" t="s">
        <v>47</v>
      </c>
      <c r="F198" t="s">
        <v>66</v>
      </c>
      <c r="G198" t="s">
        <v>67</v>
      </c>
      <c r="H198" t="s">
        <v>373</v>
      </c>
      <c r="I198" t="s">
        <v>29</v>
      </c>
      <c r="J198" t="s">
        <v>69</v>
      </c>
      <c r="K198" t="s">
        <v>178</v>
      </c>
      <c r="L198" s="4">
        <v>45719</v>
      </c>
      <c r="M198" s="4">
        <v>45735</v>
      </c>
      <c r="N198" s="4">
        <v>45743</v>
      </c>
      <c r="O198" t="s">
        <v>32</v>
      </c>
      <c r="P198" s="5">
        <v>1</v>
      </c>
      <c r="Q198" s="6">
        <v>29800</v>
      </c>
      <c r="R198" s="6">
        <v>29347.07</v>
      </c>
      <c r="S198">
        <v>3</v>
      </c>
      <c r="T198">
        <f t="shared" si="6"/>
        <v>8</v>
      </c>
      <c r="U198">
        <f>IF(COUNTIFS($B$2:B198,B198,$F$2:F198,F198)=1,1,0)</f>
        <v>0</v>
      </c>
      <c r="V198" s="13">
        <f t="shared" si="7"/>
        <v>452.93000000000029</v>
      </c>
    </row>
    <row r="199" spans="1:22">
      <c r="A199" t="s">
        <v>384</v>
      </c>
      <c r="B199" t="s">
        <v>123</v>
      </c>
      <c r="C199" t="s">
        <v>124</v>
      </c>
      <c r="D199" t="s">
        <v>56</v>
      </c>
      <c r="E199" t="s">
        <v>57</v>
      </c>
      <c r="F199" t="s">
        <v>75</v>
      </c>
      <c r="G199" t="s">
        <v>76</v>
      </c>
      <c r="H199" t="s">
        <v>375</v>
      </c>
      <c r="I199" t="s">
        <v>29</v>
      </c>
      <c r="J199" t="s">
        <v>30</v>
      </c>
      <c r="K199" t="s">
        <v>78</v>
      </c>
      <c r="L199" s="4">
        <v>45824</v>
      </c>
      <c r="M199" s="4">
        <v>45834</v>
      </c>
      <c r="N199" s="4">
        <v>45830</v>
      </c>
      <c r="O199" t="s">
        <v>32</v>
      </c>
      <c r="P199" s="5">
        <v>1</v>
      </c>
      <c r="Q199" s="6">
        <v>33000</v>
      </c>
      <c r="R199" s="6">
        <v>41059.21</v>
      </c>
      <c r="S199">
        <v>0</v>
      </c>
      <c r="T199">
        <f t="shared" si="6"/>
        <v>0</v>
      </c>
      <c r="U199">
        <f>IF(COUNTIFS($B$2:B199,B199,$F$2:F199,F199)=1,1,0)</f>
        <v>0</v>
      </c>
      <c r="V199" s="13">
        <f t="shared" si="7"/>
        <v>-8059.2099999999991</v>
      </c>
    </row>
    <row r="200" spans="1:22">
      <c r="A200" t="s">
        <v>385</v>
      </c>
      <c r="B200" t="s">
        <v>126</v>
      </c>
      <c r="C200" t="s">
        <v>127</v>
      </c>
      <c r="D200" t="s">
        <v>64</v>
      </c>
      <c r="E200" t="s">
        <v>65</v>
      </c>
      <c r="F200" t="s">
        <v>26</v>
      </c>
      <c r="G200" t="s">
        <v>84</v>
      </c>
      <c r="H200" t="s">
        <v>359</v>
      </c>
      <c r="I200" t="s">
        <v>29</v>
      </c>
      <c r="J200" t="s">
        <v>69</v>
      </c>
      <c r="K200" t="s">
        <v>31</v>
      </c>
      <c r="L200" s="4">
        <v>45719</v>
      </c>
      <c r="M200" s="4">
        <v>45748</v>
      </c>
      <c r="N200" s="4"/>
      <c r="O200" t="s">
        <v>52</v>
      </c>
      <c r="P200" s="5">
        <v>0.6</v>
      </c>
      <c r="Q200" s="6">
        <v>9600</v>
      </c>
      <c r="R200" s="6">
        <v>10258.58</v>
      </c>
      <c r="S200">
        <v>0</v>
      </c>
      <c r="T200" t="str">
        <f t="shared" si="6"/>
        <v/>
      </c>
      <c r="U200">
        <f>IF(COUNTIFS($B$2:B200,B200,$F$2:F200,F200)=1,1,0)</f>
        <v>0</v>
      </c>
      <c r="V200" s="13">
        <f t="shared" si="7"/>
        <v>-658.57999999999993</v>
      </c>
    </row>
    <row r="201" spans="1:22">
      <c r="A201" t="s">
        <v>386</v>
      </c>
      <c r="B201" t="s">
        <v>129</v>
      </c>
      <c r="C201" t="s">
        <v>130</v>
      </c>
      <c r="D201" t="s">
        <v>73</v>
      </c>
      <c r="E201" t="s">
        <v>74</v>
      </c>
      <c r="F201" t="s">
        <v>38</v>
      </c>
      <c r="G201" t="s">
        <v>90</v>
      </c>
      <c r="H201" t="s">
        <v>361</v>
      </c>
      <c r="I201" t="s">
        <v>29</v>
      </c>
      <c r="J201" t="s">
        <v>30</v>
      </c>
      <c r="K201" t="s">
        <v>31</v>
      </c>
      <c r="L201" s="4">
        <v>45801</v>
      </c>
      <c r="M201" s="4">
        <v>45814</v>
      </c>
      <c r="N201" s="4"/>
      <c r="O201" t="s">
        <v>52</v>
      </c>
      <c r="P201" s="5">
        <v>0.85</v>
      </c>
      <c r="Q201" s="6">
        <v>25100</v>
      </c>
      <c r="R201" s="6">
        <v>19085.080000000002</v>
      </c>
      <c r="S201">
        <v>1</v>
      </c>
      <c r="T201" t="str">
        <f t="shared" si="6"/>
        <v/>
      </c>
      <c r="U201">
        <f>IF(COUNTIFS($B$2:B201,B201,$F$2:F201,F201)=1,1,0)</f>
        <v>0</v>
      </c>
      <c r="V201" s="13">
        <f t="shared" si="7"/>
        <v>6014.9199999999983</v>
      </c>
    </row>
    <row r="202" spans="1:22">
      <c r="A202" t="s">
        <v>387</v>
      </c>
      <c r="B202" t="s">
        <v>132</v>
      </c>
      <c r="C202" t="s">
        <v>133</v>
      </c>
      <c r="D202" t="s">
        <v>82</v>
      </c>
      <c r="E202" t="s">
        <v>83</v>
      </c>
      <c r="F202" t="s">
        <v>48</v>
      </c>
      <c r="G202" t="s">
        <v>95</v>
      </c>
      <c r="H202" t="s">
        <v>363</v>
      </c>
      <c r="I202" t="s">
        <v>69</v>
      </c>
      <c r="J202" t="s">
        <v>30</v>
      </c>
      <c r="K202" t="s">
        <v>31</v>
      </c>
      <c r="L202" s="4">
        <v>45810</v>
      </c>
      <c r="M202" s="4">
        <v>45823</v>
      </c>
      <c r="N202" s="4"/>
      <c r="O202" t="s">
        <v>42</v>
      </c>
      <c r="P202" s="5">
        <v>0</v>
      </c>
      <c r="Q202" s="6">
        <v>21500</v>
      </c>
      <c r="R202" s="6">
        <v>0</v>
      </c>
      <c r="S202">
        <v>2</v>
      </c>
      <c r="T202" t="str">
        <f t="shared" si="6"/>
        <v/>
      </c>
      <c r="U202">
        <f>IF(COUNTIFS($B$2:B202,B202,$F$2:F202,F202)=1,1,0)</f>
        <v>0</v>
      </c>
      <c r="V202" s="13">
        <f t="shared" si="7"/>
        <v>21500</v>
      </c>
    </row>
    <row r="203" spans="1:22">
      <c r="A203" t="s">
        <v>388</v>
      </c>
      <c r="B203" t="s">
        <v>135</v>
      </c>
      <c r="C203" t="s">
        <v>136</v>
      </c>
      <c r="D203" t="s">
        <v>24</v>
      </c>
      <c r="E203" t="s">
        <v>25</v>
      </c>
      <c r="F203" t="s">
        <v>58</v>
      </c>
      <c r="G203" t="s">
        <v>27</v>
      </c>
      <c r="H203" t="s">
        <v>365</v>
      </c>
      <c r="I203" t="s">
        <v>69</v>
      </c>
      <c r="J203" t="s">
        <v>29</v>
      </c>
      <c r="K203" t="s">
        <v>143</v>
      </c>
      <c r="L203" s="4">
        <v>45970</v>
      </c>
      <c r="M203" s="4">
        <v>45978</v>
      </c>
      <c r="N203" s="4">
        <v>45975</v>
      </c>
      <c r="O203" t="s">
        <v>32</v>
      </c>
      <c r="P203" s="5">
        <v>1</v>
      </c>
      <c r="Q203" s="6">
        <v>20100</v>
      </c>
      <c r="R203" s="6">
        <v>18776.189999999999</v>
      </c>
      <c r="S203">
        <v>1</v>
      </c>
      <c r="T203">
        <f t="shared" si="6"/>
        <v>0</v>
      </c>
      <c r="U203">
        <f>IF(COUNTIFS($B$2:B203,B203,$F$2:F203,F203)=1,1,0)</f>
        <v>0</v>
      </c>
      <c r="V203" s="13">
        <f t="shared" si="7"/>
        <v>1323.8100000000013</v>
      </c>
    </row>
    <row r="204" spans="1:22">
      <c r="A204" t="s">
        <v>389</v>
      </c>
      <c r="B204" t="s">
        <v>138</v>
      </c>
      <c r="C204" t="s">
        <v>139</v>
      </c>
      <c r="D204" t="s">
        <v>36</v>
      </c>
      <c r="E204" t="s">
        <v>37</v>
      </c>
      <c r="F204" t="s">
        <v>66</v>
      </c>
      <c r="G204" t="s">
        <v>39</v>
      </c>
      <c r="H204" t="s">
        <v>367</v>
      </c>
      <c r="I204" t="s">
        <v>30</v>
      </c>
      <c r="J204" t="s">
        <v>69</v>
      </c>
      <c r="K204" t="s">
        <v>143</v>
      </c>
      <c r="L204" s="4">
        <v>46034</v>
      </c>
      <c r="M204" s="4">
        <v>46037</v>
      </c>
      <c r="N204" s="4"/>
      <c r="O204" t="s">
        <v>52</v>
      </c>
      <c r="P204" s="5">
        <v>0.4</v>
      </c>
      <c r="Q204" s="6">
        <v>20900</v>
      </c>
      <c r="R204" s="6">
        <v>24416.52</v>
      </c>
      <c r="S204">
        <v>3</v>
      </c>
      <c r="T204" t="str">
        <f t="shared" si="6"/>
        <v/>
      </c>
      <c r="U204">
        <f>IF(COUNTIFS($B$2:B204,B204,$F$2:F204,F204)=1,1,0)</f>
        <v>0</v>
      </c>
      <c r="V204" s="13">
        <f t="shared" si="7"/>
        <v>-3516.5200000000004</v>
      </c>
    </row>
    <row r="205" spans="1:22">
      <c r="A205" t="s">
        <v>390</v>
      </c>
      <c r="B205" t="s">
        <v>141</v>
      </c>
      <c r="C205" t="s">
        <v>142</v>
      </c>
      <c r="D205" t="s">
        <v>46</v>
      </c>
      <c r="E205" t="s">
        <v>47</v>
      </c>
      <c r="F205" t="s">
        <v>75</v>
      </c>
      <c r="G205" t="s">
        <v>49</v>
      </c>
      <c r="H205" t="s">
        <v>369</v>
      </c>
      <c r="I205" t="s">
        <v>69</v>
      </c>
      <c r="J205" t="s">
        <v>29</v>
      </c>
      <c r="K205" t="s">
        <v>31</v>
      </c>
      <c r="L205" s="4">
        <v>45768</v>
      </c>
      <c r="M205" s="4">
        <v>45793</v>
      </c>
      <c r="N205" s="4"/>
      <c r="O205" t="s">
        <v>52</v>
      </c>
      <c r="P205" s="5">
        <v>0.85</v>
      </c>
      <c r="Q205" s="6">
        <v>6600</v>
      </c>
      <c r="R205" s="6">
        <v>7377.59</v>
      </c>
      <c r="S205">
        <v>1</v>
      </c>
      <c r="T205" t="str">
        <f t="shared" si="6"/>
        <v/>
      </c>
      <c r="U205">
        <f>IF(COUNTIFS($B$2:B205,B205,$F$2:F205,F205)=1,1,0)</f>
        <v>0</v>
      </c>
      <c r="V205" s="13">
        <f t="shared" si="7"/>
        <v>-777.59000000000015</v>
      </c>
    </row>
    <row r="206" spans="1:22">
      <c r="A206" t="s">
        <v>391</v>
      </c>
      <c r="B206" t="s">
        <v>145</v>
      </c>
      <c r="C206" t="s">
        <v>146</v>
      </c>
      <c r="D206" t="s">
        <v>56</v>
      </c>
      <c r="E206" t="s">
        <v>57</v>
      </c>
      <c r="F206" t="s">
        <v>26</v>
      </c>
      <c r="G206" t="s">
        <v>59</v>
      </c>
      <c r="H206" t="s">
        <v>371</v>
      </c>
      <c r="I206" t="s">
        <v>29</v>
      </c>
      <c r="J206" t="s">
        <v>69</v>
      </c>
      <c r="K206" t="s">
        <v>78</v>
      </c>
      <c r="L206" s="4">
        <v>46029</v>
      </c>
      <c r="M206" s="4">
        <v>46054</v>
      </c>
      <c r="N206" s="4"/>
      <c r="O206" t="s">
        <v>42</v>
      </c>
      <c r="P206" s="5">
        <v>0</v>
      </c>
      <c r="Q206" s="6">
        <v>41400</v>
      </c>
      <c r="R206" s="6">
        <v>0</v>
      </c>
      <c r="S206">
        <v>2</v>
      </c>
      <c r="T206" t="str">
        <f t="shared" si="6"/>
        <v/>
      </c>
      <c r="U206">
        <f>IF(COUNTIFS($B$2:B206,B206,$F$2:F206,F206)=1,1,0)</f>
        <v>0</v>
      </c>
      <c r="V206" s="13">
        <f t="shared" si="7"/>
        <v>41400</v>
      </c>
    </row>
    <row r="207" spans="1:22">
      <c r="A207" t="s">
        <v>392</v>
      </c>
      <c r="B207" t="s">
        <v>148</v>
      </c>
      <c r="C207" t="s">
        <v>149</v>
      </c>
      <c r="D207" t="s">
        <v>64</v>
      </c>
      <c r="E207" t="s">
        <v>65</v>
      </c>
      <c r="F207" t="s">
        <v>38</v>
      </c>
      <c r="G207" t="s">
        <v>67</v>
      </c>
      <c r="H207" t="s">
        <v>373</v>
      </c>
      <c r="I207" t="s">
        <v>29</v>
      </c>
      <c r="J207" t="s">
        <v>30</v>
      </c>
      <c r="K207" t="s">
        <v>31</v>
      </c>
      <c r="L207" s="4">
        <v>45859</v>
      </c>
      <c r="M207" s="4">
        <v>45875</v>
      </c>
      <c r="N207" s="4">
        <v>45886</v>
      </c>
      <c r="O207" t="s">
        <v>32</v>
      </c>
      <c r="P207" s="5">
        <v>1</v>
      </c>
      <c r="Q207" s="6">
        <v>41200</v>
      </c>
      <c r="R207" s="6">
        <v>42400.56</v>
      </c>
      <c r="S207">
        <v>0</v>
      </c>
      <c r="T207">
        <f t="shared" si="6"/>
        <v>11</v>
      </c>
      <c r="U207">
        <f>IF(COUNTIFS($B$2:B207,B207,$F$2:F207,F207)=1,1,0)</f>
        <v>0</v>
      </c>
      <c r="V207" s="13">
        <f t="shared" si="7"/>
        <v>-1200.5599999999977</v>
      </c>
    </row>
    <row r="208" spans="1:22">
      <c r="A208" t="s">
        <v>393</v>
      </c>
      <c r="B208" t="s">
        <v>151</v>
      </c>
      <c r="C208" t="s">
        <v>152</v>
      </c>
      <c r="D208" t="s">
        <v>73</v>
      </c>
      <c r="E208" t="s">
        <v>74</v>
      </c>
      <c r="F208" t="s">
        <v>48</v>
      </c>
      <c r="G208" t="s">
        <v>76</v>
      </c>
      <c r="H208" t="s">
        <v>375</v>
      </c>
      <c r="I208" t="s">
        <v>69</v>
      </c>
      <c r="J208" t="s">
        <v>29</v>
      </c>
      <c r="K208" t="s">
        <v>78</v>
      </c>
      <c r="L208" s="4">
        <v>46049</v>
      </c>
      <c r="M208" s="4">
        <v>46068</v>
      </c>
      <c r="N208" s="4"/>
      <c r="O208" t="s">
        <v>52</v>
      </c>
      <c r="P208" s="5">
        <v>0.85</v>
      </c>
      <c r="Q208" s="6">
        <v>17200</v>
      </c>
      <c r="R208" s="6">
        <v>18345.09</v>
      </c>
      <c r="S208">
        <v>1</v>
      </c>
      <c r="T208" t="str">
        <f t="shared" si="6"/>
        <v/>
      </c>
      <c r="U208">
        <f>IF(COUNTIFS($B$2:B208,B208,$F$2:F208,F208)=1,1,0)</f>
        <v>0</v>
      </c>
      <c r="V208" s="13">
        <f t="shared" si="7"/>
        <v>-1145.0900000000001</v>
      </c>
    </row>
    <row r="209" spans="1:22">
      <c r="A209" t="s">
        <v>394</v>
      </c>
      <c r="B209" t="s">
        <v>154</v>
      </c>
      <c r="C209" t="s">
        <v>155</v>
      </c>
      <c r="D209" t="s">
        <v>82</v>
      </c>
      <c r="E209" t="s">
        <v>83</v>
      </c>
      <c r="F209" t="s">
        <v>58</v>
      </c>
      <c r="G209" t="s">
        <v>84</v>
      </c>
      <c r="H209" t="s">
        <v>359</v>
      </c>
      <c r="I209" t="s">
        <v>69</v>
      </c>
      <c r="J209" t="s">
        <v>69</v>
      </c>
      <c r="K209" t="s">
        <v>31</v>
      </c>
      <c r="L209" s="4">
        <v>46132</v>
      </c>
      <c r="M209" s="4">
        <v>46139</v>
      </c>
      <c r="N209" s="4"/>
      <c r="O209" t="s">
        <v>42</v>
      </c>
      <c r="P209" s="5">
        <v>0</v>
      </c>
      <c r="Q209" s="6">
        <v>38700</v>
      </c>
      <c r="R209" s="6">
        <v>0</v>
      </c>
      <c r="S209">
        <v>4</v>
      </c>
      <c r="T209" t="str">
        <f t="shared" si="6"/>
        <v/>
      </c>
      <c r="U209">
        <f>IF(COUNTIFS($B$2:B209,B209,$F$2:F209,F209)=1,1,0)</f>
        <v>0</v>
      </c>
      <c r="V209" s="13">
        <f t="shared" si="7"/>
        <v>38700</v>
      </c>
    </row>
    <row r="210" spans="1:22">
      <c r="A210" t="s">
        <v>395</v>
      </c>
      <c r="B210" t="s">
        <v>157</v>
      </c>
      <c r="C210" t="s">
        <v>158</v>
      </c>
      <c r="D210" t="s">
        <v>24</v>
      </c>
      <c r="E210" t="s">
        <v>25</v>
      </c>
      <c r="F210" t="s">
        <v>66</v>
      </c>
      <c r="G210" t="s">
        <v>90</v>
      </c>
      <c r="H210" t="s">
        <v>361</v>
      </c>
      <c r="I210" t="s">
        <v>69</v>
      </c>
      <c r="J210" t="s">
        <v>30</v>
      </c>
      <c r="K210" t="s">
        <v>178</v>
      </c>
      <c r="L210" s="4">
        <v>46136</v>
      </c>
      <c r="M210" s="4">
        <v>46164</v>
      </c>
      <c r="N210" s="4"/>
      <c r="O210" t="s">
        <v>42</v>
      </c>
      <c r="P210" s="5">
        <v>0</v>
      </c>
      <c r="Q210" s="6">
        <v>7200</v>
      </c>
      <c r="R210" s="6">
        <v>0</v>
      </c>
      <c r="S210">
        <v>2</v>
      </c>
      <c r="T210" t="str">
        <f t="shared" si="6"/>
        <v/>
      </c>
      <c r="U210">
        <f>IF(COUNTIFS($B$2:B210,B210,$F$2:F210,F210)=1,1,0)</f>
        <v>0</v>
      </c>
      <c r="V210" s="13">
        <f t="shared" si="7"/>
        <v>7200</v>
      </c>
    </row>
    <row r="211" spans="1:22">
      <c r="A211" t="s">
        <v>396</v>
      </c>
      <c r="B211" t="s">
        <v>160</v>
      </c>
      <c r="C211" t="s">
        <v>161</v>
      </c>
      <c r="D211" t="s">
        <v>36</v>
      </c>
      <c r="E211" t="s">
        <v>37</v>
      </c>
      <c r="F211" t="s">
        <v>75</v>
      </c>
      <c r="G211" t="s">
        <v>27</v>
      </c>
      <c r="H211" t="s">
        <v>365</v>
      </c>
      <c r="I211" t="s">
        <v>29</v>
      </c>
      <c r="J211" t="s">
        <v>29</v>
      </c>
      <c r="K211" t="s">
        <v>31</v>
      </c>
      <c r="L211" s="4">
        <v>45947</v>
      </c>
      <c r="M211" s="4">
        <v>45962</v>
      </c>
      <c r="N211" s="4"/>
      <c r="O211" t="s">
        <v>52</v>
      </c>
      <c r="P211" s="5">
        <v>0.25</v>
      </c>
      <c r="Q211" s="6">
        <v>33900</v>
      </c>
      <c r="R211" s="6">
        <v>33577.360000000001</v>
      </c>
      <c r="S211">
        <v>2</v>
      </c>
      <c r="T211" t="str">
        <f t="shared" si="6"/>
        <v/>
      </c>
      <c r="U211">
        <f>IF(COUNTIFS($B$2:B211,B211,$F$2:F211,F211)=1,1,0)</f>
        <v>0</v>
      </c>
      <c r="V211" s="13">
        <f t="shared" si="7"/>
        <v>322.63999999999942</v>
      </c>
    </row>
    <row r="212" spans="1:22">
      <c r="A212" t="s">
        <v>397</v>
      </c>
      <c r="B212" t="s">
        <v>22</v>
      </c>
      <c r="C212" t="s">
        <v>23</v>
      </c>
      <c r="D212" t="s">
        <v>24</v>
      </c>
      <c r="E212" t="s">
        <v>25</v>
      </c>
      <c r="F212" t="s">
        <v>26</v>
      </c>
      <c r="G212" t="s">
        <v>39</v>
      </c>
      <c r="H212" t="s">
        <v>398</v>
      </c>
      <c r="I212" t="s">
        <v>29</v>
      </c>
      <c r="J212" t="s">
        <v>30</v>
      </c>
      <c r="K212" t="s">
        <v>178</v>
      </c>
      <c r="L212" s="4">
        <v>46007</v>
      </c>
      <c r="M212" s="4">
        <v>46025</v>
      </c>
      <c r="N212" s="4"/>
      <c r="O212" t="s">
        <v>32</v>
      </c>
      <c r="P212" s="5">
        <v>0</v>
      </c>
      <c r="Q212" s="6">
        <v>19300</v>
      </c>
      <c r="R212" s="6">
        <v>0</v>
      </c>
      <c r="S212">
        <v>0</v>
      </c>
      <c r="T212" t="str">
        <f t="shared" si="6"/>
        <v/>
      </c>
      <c r="U212">
        <f>IF(COUNTIFS($B$2:B212,B212,$F$2:F212,F212)=1,1,0)</f>
        <v>0</v>
      </c>
      <c r="V212" s="13">
        <f t="shared" si="7"/>
        <v>19300</v>
      </c>
    </row>
    <row r="213" spans="1:22">
      <c r="A213" t="s">
        <v>399</v>
      </c>
      <c r="B213" t="s">
        <v>34</v>
      </c>
      <c r="C213" t="s">
        <v>35</v>
      </c>
      <c r="D213" t="s">
        <v>36</v>
      </c>
      <c r="E213" t="s">
        <v>37</v>
      </c>
      <c r="F213" t="s">
        <v>38</v>
      </c>
      <c r="G213" t="s">
        <v>49</v>
      </c>
      <c r="H213" t="s">
        <v>400</v>
      </c>
      <c r="I213" t="s">
        <v>86</v>
      </c>
      <c r="J213" t="s">
        <v>29</v>
      </c>
      <c r="K213" t="s">
        <v>31</v>
      </c>
      <c r="L213" s="4">
        <v>45817</v>
      </c>
      <c r="M213" s="4">
        <v>45834</v>
      </c>
      <c r="N213" s="4">
        <v>45842</v>
      </c>
      <c r="O213" t="s">
        <v>32</v>
      </c>
      <c r="P213" s="5">
        <v>1</v>
      </c>
      <c r="Q213" s="6">
        <v>31200</v>
      </c>
      <c r="R213" s="6">
        <v>29982.34</v>
      </c>
      <c r="S213">
        <v>1</v>
      </c>
      <c r="T213">
        <f t="shared" si="6"/>
        <v>8</v>
      </c>
      <c r="U213">
        <f>IF(COUNTIFS($B$2:B213,B213,$F$2:F213,F213)=1,1,0)</f>
        <v>0</v>
      </c>
      <c r="V213" s="13">
        <f t="shared" si="7"/>
        <v>1217.6599999999999</v>
      </c>
    </row>
    <row r="214" spans="1:22">
      <c r="A214" t="s">
        <v>401</v>
      </c>
      <c r="B214" t="s">
        <v>44</v>
      </c>
      <c r="C214" t="s">
        <v>45</v>
      </c>
      <c r="D214" t="s">
        <v>46</v>
      </c>
      <c r="E214" t="s">
        <v>47</v>
      </c>
      <c r="F214" t="s">
        <v>48</v>
      </c>
      <c r="G214" t="s">
        <v>59</v>
      </c>
      <c r="H214" t="s">
        <v>402</v>
      </c>
      <c r="I214" t="s">
        <v>69</v>
      </c>
      <c r="J214" t="s">
        <v>30</v>
      </c>
      <c r="K214" t="s">
        <v>31</v>
      </c>
      <c r="L214" s="4">
        <v>45812</v>
      </c>
      <c r="M214" s="4">
        <v>45827</v>
      </c>
      <c r="N214" s="4">
        <v>45822</v>
      </c>
      <c r="O214" t="s">
        <v>32</v>
      </c>
      <c r="P214" s="5">
        <v>1</v>
      </c>
      <c r="Q214" s="6">
        <v>33200</v>
      </c>
      <c r="R214" s="6">
        <v>33916.019999999997</v>
      </c>
      <c r="S214">
        <v>1</v>
      </c>
      <c r="T214">
        <f t="shared" si="6"/>
        <v>0</v>
      </c>
      <c r="U214">
        <f>IF(COUNTIFS($B$2:B214,B214,$F$2:F214,F214)=1,1,0)</f>
        <v>0</v>
      </c>
      <c r="V214" s="13">
        <f t="shared" si="7"/>
        <v>-716.0199999999968</v>
      </c>
    </row>
    <row r="215" spans="1:22">
      <c r="A215" t="s">
        <v>403</v>
      </c>
      <c r="B215" t="s">
        <v>54</v>
      </c>
      <c r="C215" t="s">
        <v>55</v>
      </c>
      <c r="D215" t="s">
        <v>56</v>
      </c>
      <c r="E215" t="s">
        <v>57</v>
      </c>
      <c r="F215" t="s">
        <v>58</v>
      </c>
      <c r="G215" t="s">
        <v>67</v>
      </c>
      <c r="H215" t="s">
        <v>404</v>
      </c>
      <c r="I215" t="s">
        <v>30</v>
      </c>
      <c r="J215" t="s">
        <v>30</v>
      </c>
      <c r="K215" t="s">
        <v>78</v>
      </c>
      <c r="L215" s="4">
        <v>46181</v>
      </c>
      <c r="M215" s="4">
        <v>46197</v>
      </c>
      <c r="N215" s="4">
        <v>46201</v>
      </c>
      <c r="O215" t="s">
        <v>32</v>
      </c>
      <c r="P215" s="5">
        <v>1</v>
      </c>
      <c r="Q215" s="6">
        <v>16600</v>
      </c>
      <c r="R215" s="6">
        <v>15698.64</v>
      </c>
      <c r="S215">
        <v>1</v>
      </c>
      <c r="T215">
        <f t="shared" si="6"/>
        <v>4</v>
      </c>
      <c r="U215">
        <f>IF(COUNTIFS($B$2:B215,B215,$F$2:F215,F215)=1,1,0)</f>
        <v>0</v>
      </c>
      <c r="V215" s="13">
        <f t="shared" si="7"/>
        <v>901.36000000000058</v>
      </c>
    </row>
    <row r="216" spans="1:22">
      <c r="A216" t="s">
        <v>405</v>
      </c>
      <c r="B216" t="s">
        <v>62</v>
      </c>
      <c r="C216" t="s">
        <v>63</v>
      </c>
      <c r="D216" t="s">
        <v>64</v>
      </c>
      <c r="E216" t="s">
        <v>65</v>
      </c>
      <c r="F216" t="s">
        <v>66</v>
      </c>
      <c r="G216" t="s">
        <v>76</v>
      </c>
      <c r="H216" t="s">
        <v>406</v>
      </c>
      <c r="I216" t="s">
        <v>69</v>
      </c>
      <c r="J216" t="s">
        <v>30</v>
      </c>
      <c r="K216" t="s">
        <v>41</v>
      </c>
      <c r="L216" s="4">
        <v>45910</v>
      </c>
      <c r="M216" s="4">
        <v>45932</v>
      </c>
      <c r="N216" s="4">
        <v>45950</v>
      </c>
      <c r="O216" t="s">
        <v>32</v>
      </c>
      <c r="P216" s="5">
        <v>1</v>
      </c>
      <c r="Q216" s="6">
        <v>39900</v>
      </c>
      <c r="R216" s="6">
        <v>43665.38</v>
      </c>
      <c r="S216">
        <v>1</v>
      </c>
      <c r="T216">
        <f t="shared" si="6"/>
        <v>18</v>
      </c>
      <c r="U216">
        <f>IF(COUNTIFS($B$2:B216,B216,$F$2:F216,F216)=1,1,0)</f>
        <v>0</v>
      </c>
      <c r="V216" s="13">
        <f t="shared" si="7"/>
        <v>-3765.3799999999974</v>
      </c>
    </row>
    <row r="217" spans="1:22">
      <c r="A217" t="s">
        <v>407</v>
      </c>
      <c r="B217" t="s">
        <v>71</v>
      </c>
      <c r="C217" t="s">
        <v>72</v>
      </c>
      <c r="D217" t="s">
        <v>73</v>
      </c>
      <c r="E217" t="s">
        <v>74</v>
      </c>
      <c r="F217" t="s">
        <v>75</v>
      </c>
      <c r="G217" t="s">
        <v>84</v>
      </c>
      <c r="H217" t="s">
        <v>408</v>
      </c>
      <c r="I217" t="s">
        <v>30</v>
      </c>
      <c r="J217" t="s">
        <v>30</v>
      </c>
      <c r="K217" t="s">
        <v>51</v>
      </c>
      <c r="L217" s="4">
        <v>45800</v>
      </c>
      <c r="M217" s="4">
        <v>45810</v>
      </c>
      <c r="N217" s="4">
        <v>45808</v>
      </c>
      <c r="O217" t="s">
        <v>32</v>
      </c>
      <c r="P217" s="5">
        <v>1</v>
      </c>
      <c r="Q217" s="6">
        <v>11000</v>
      </c>
      <c r="R217" s="6">
        <v>11729.51</v>
      </c>
      <c r="S217">
        <v>1</v>
      </c>
      <c r="T217">
        <f t="shared" si="6"/>
        <v>0</v>
      </c>
      <c r="U217">
        <f>IF(COUNTIFS($B$2:B217,B217,$F$2:F217,F217)=1,1,0)</f>
        <v>0</v>
      </c>
      <c r="V217" s="13">
        <f t="shared" si="7"/>
        <v>-729.51000000000022</v>
      </c>
    </row>
    <row r="218" spans="1:22">
      <c r="A218" t="s">
        <v>409</v>
      </c>
      <c r="B218" t="s">
        <v>80</v>
      </c>
      <c r="C218" t="s">
        <v>81</v>
      </c>
      <c r="D218" t="s">
        <v>82</v>
      </c>
      <c r="E218" t="s">
        <v>83</v>
      </c>
      <c r="F218" t="s">
        <v>26</v>
      </c>
      <c r="G218" t="s">
        <v>90</v>
      </c>
      <c r="H218" t="s">
        <v>410</v>
      </c>
      <c r="I218" t="s">
        <v>29</v>
      </c>
      <c r="J218" t="s">
        <v>30</v>
      </c>
      <c r="K218" t="s">
        <v>41</v>
      </c>
      <c r="L218" s="4">
        <v>45924</v>
      </c>
      <c r="M218" s="4">
        <v>45937</v>
      </c>
      <c r="N218" s="4">
        <v>45937</v>
      </c>
      <c r="O218" t="s">
        <v>32</v>
      </c>
      <c r="P218" s="5">
        <v>1</v>
      </c>
      <c r="Q218" s="6">
        <v>35100</v>
      </c>
      <c r="R218" s="6">
        <v>36984.699999999997</v>
      </c>
      <c r="S218">
        <v>0</v>
      </c>
      <c r="T218">
        <f t="shared" si="6"/>
        <v>0</v>
      </c>
      <c r="U218">
        <f>IF(COUNTIFS($B$2:B218,B218,$F$2:F218,F218)=1,1,0)</f>
        <v>0</v>
      </c>
      <c r="V218" s="13">
        <f t="shared" si="7"/>
        <v>-1884.6999999999971</v>
      </c>
    </row>
    <row r="219" spans="1:22">
      <c r="A219" t="s">
        <v>411</v>
      </c>
      <c r="B219" t="s">
        <v>88</v>
      </c>
      <c r="C219" t="s">
        <v>89</v>
      </c>
      <c r="D219" t="s">
        <v>24</v>
      </c>
      <c r="E219" t="s">
        <v>25</v>
      </c>
      <c r="F219" t="s">
        <v>38</v>
      </c>
      <c r="G219" t="s">
        <v>95</v>
      </c>
      <c r="H219" t="s">
        <v>412</v>
      </c>
      <c r="I219" t="s">
        <v>69</v>
      </c>
      <c r="J219" t="s">
        <v>69</v>
      </c>
      <c r="K219" t="s">
        <v>143</v>
      </c>
      <c r="L219" s="4">
        <v>45839</v>
      </c>
      <c r="M219" s="4">
        <v>45851</v>
      </c>
      <c r="N219" s="4"/>
      <c r="O219" t="s">
        <v>32</v>
      </c>
      <c r="P219" s="5">
        <v>0.75</v>
      </c>
      <c r="Q219" s="6">
        <v>42800</v>
      </c>
      <c r="R219" s="6">
        <v>53342.37</v>
      </c>
      <c r="S219">
        <v>1</v>
      </c>
      <c r="T219" t="str">
        <f t="shared" si="6"/>
        <v/>
      </c>
      <c r="U219">
        <f>IF(COUNTIFS($B$2:B219,B219,$F$2:F219,F219)=1,1,0)</f>
        <v>0</v>
      </c>
      <c r="V219" s="13">
        <f t="shared" si="7"/>
        <v>-10542.370000000003</v>
      </c>
    </row>
    <row r="220" spans="1:22">
      <c r="A220" t="s">
        <v>413</v>
      </c>
      <c r="B220" t="s">
        <v>93</v>
      </c>
      <c r="C220" t="s">
        <v>94</v>
      </c>
      <c r="D220" t="s">
        <v>36</v>
      </c>
      <c r="E220" t="s">
        <v>37</v>
      </c>
      <c r="F220" t="s">
        <v>48</v>
      </c>
      <c r="G220" t="s">
        <v>27</v>
      </c>
      <c r="H220" t="s">
        <v>414</v>
      </c>
      <c r="I220" t="s">
        <v>69</v>
      </c>
      <c r="J220" t="s">
        <v>30</v>
      </c>
      <c r="K220" t="s">
        <v>143</v>
      </c>
      <c r="L220" s="4">
        <v>46128</v>
      </c>
      <c r="M220" s="4">
        <v>46151</v>
      </c>
      <c r="N220" s="4">
        <v>46154</v>
      </c>
      <c r="O220" t="s">
        <v>32</v>
      </c>
      <c r="P220" s="5">
        <v>1</v>
      </c>
      <c r="Q220" s="6">
        <v>19600</v>
      </c>
      <c r="R220" s="6">
        <v>18150.66</v>
      </c>
      <c r="S220">
        <v>2</v>
      </c>
      <c r="T220">
        <f t="shared" si="6"/>
        <v>3</v>
      </c>
      <c r="U220">
        <f>IF(COUNTIFS($B$2:B220,B220,$F$2:F220,F220)=1,1,0)</f>
        <v>0</v>
      </c>
      <c r="V220" s="13">
        <f t="shared" si="7"/>
        <v>1449.3400000000001</v>
      </c>
    </row>
    <row r="221" spans="1:22">
      <c r="A221" t="s">
        <v>415</v>
      </c>
      <c r="B221" t="s">
        <v>98</v>
      </c>
      <c r="C221" t="s">
        <v>99</v>
      </c>
      <c r="D221" t="s">
        <v>46</v>
      </c>
      <c r="E221" t="s">
        <v>47</v>
      </c>
      <c r="F221" t="s">
        <v>58</v>
      </c>
      <c r="G221" t="s">
        <v>39</v>
      </c>
      <c r="H221" t="s">
        <v>398</v>
      </c>
      <c r="I221" t="s">
        <v>69</v>
      </c>
      <c r="J221" t="s">
        <v>30</v>
      </c>
      <c r="K221" t="s">
        <v>41</v>
      </c>
      <c r="L221" s="4">
        <v>45791</v>
      </c>
      <c r="M221" s="4">
        <v>45821</v>
      </c>
      <c r="N221" s="4">
        <v>45828</v>
      </c>
      <c r="O221" t="s">
        <v>32</v>
      </c>
      <c r="P221" s="5">
        <v>1</v>
      </c>
      <c r="Q221" s="6">
        <v>36600</v>
      </c>
      <c r="R221" s="6">
        <v>41782.85</v>
      </c>
      <c r="S221">
        <v>0</v>
      </c>
      <c r="T221">
        <f t="shared" si="6"/>
        <v>7</v>
      </c>
      <c r="U221">
        <f>IF(COUNTIFS($B$2:B221,B221,$F$2:F221,F221)=1,1,0)</f>
        <v>0</v>
      </c>
      <c r="V221" s="13">
        <f t="shared" si="7"/>
        <v>-5182.8499999999985</v>
      </c>
    </row>
    <row r="222" spans="1:22">
      <c r="A222" t="s">
        <v>416</v>
      </c>
      <c r="B222" t="s">
        <v>101</v>
      </c>
      <c r="C222" t="s">
        <v>102</v>
      </c>
      <c r="D222" t="s">
        <v>56</v>
      </c>
      <c r="E222" t="s">
        <v>57</v>
      </c>
      <c r="F222" t="s">
        <v>66</v>
      </c>
      <c r="G222" t="s">
        <v>49</v>
      </c>
      <c r="H222" t="s">
        <v>400</v>
      </c>
      <c r="I222" t="s">
        <v>86</v>
      </c>
      <c r="J222" t="s">
        <v>29</v>
      </c>
      <c r="K222" t="s">
        <v>31</v>
      </c>
      <c r="L222" s="4">
        <v>46071</v>
      </c>
      <c r="M222" s="4">
        <v>46082</v>
      </c>
      <c r="N222" s="4"/>
      <c r="O222" t="s">
        <v>52</v>
      </c>
      <c r="P222" s="5">
        <v>0.85</v>
      </c>
      <c r="Q222" s="6">
        <v>4900</v>
      </c>
      <c r="R222" s="6">
        <v>4504.53</v>
      </c>
      <c r="S222">
        <v>2</v>
      </c>
      <c r="T222" t="str">
        <f t="shared" si="6"/>
        <v/>
      </c>
      <c r="U222">
        <f>IF(COUNTIFS($B$2:B222,B222,$F$2:F222,F222)=1,1,0)</f>
        <v>0</v>
      </c>
      <c r="V222" s="13">
        <f t="shared" si="7"/>
        <v>395.47000000000025</v>
      </c>
    </row>
    <row r="223" spans="1:22">
      <c r="A223" t="s">
        <v>417</v>
      </c>
      <c r="B223" t="s">
        <v>104</v>
      </c>
      <c r="C223" t="s">
        <v>105</v>
      </c>
      <c r="D223" t="s">
        <v>64</v>
      </c>
      <c r="E223" t="s">
        <v>65</v>
      </c>
      <c r="F223" t="s">
        <v>75</v>
      </c>
      <c r="G223" t="s">
        <v>59</v>
      </c>
      <c r="H223" t="s">
        <v>402</v>
      </c>
      <c r="I223" t="s">
        <v>29</v>
      </c>
      <c r="J223" t="s">
        <v>29</v>
      </c>
      <c r="K223" t="s">
        <v>31</v>
      </c>
      <c r="L223" s="4">
        <v>46138</v>
      </c>
      <c r="M223" s="4">
        <v>46162</v>
      </c>
      <c r="N223" s="4">
        <v>46167</v>
      </c>
      <c r="O223" t="s">
        <v>32</v>
      </c>
      <c r="P223" s="5">
        <v>1</v>
      </c>
      <c r="Q223" s="6">
        <v>36500</v>
      </c>
      <c r="R223" s="6">
        <v>37613.879999999997</v>
      </c>
      <c r="S223">
        <v>0</v>
      </c>
      <c r="T223">
        <f t="shared" si="6"/>
        <v>5</v>
      </c>
      <c r="U223">
        <f>IF(COUNTIFS($B$2:B223,B223,$F$2:F223,F223)=1,1,0)</f>
        <v>0</v>
      </c>
      <c r="V223" s="13">
        <f t="shared" si="7"/>
        <v>-1113.8799999999974</v>
      </c>
    </row>
    <row r="224" spans="1:22">
      <c r="A224" t="s">
        <v>418</v>
      </c>
      <c r="B224" t="s">
        <v>107</v>
      </c>
      <c r="C224" t="s">
        <v>108</v>
      </c>
      <c r="D224" t="s">
        <v>73</v>
      </c>
      <c r="E224" t="s">
        <v>74</v>
      </c>
      <c r="F224" t="s">
        <v>26</v>
      </c>
      <c r="G224" t="s">
        <v>67</v>
      </c>
      <c r="H224" t="s">
        <v>404</v>
      </c>
      <c r="I224" t="s">
        <v>29</v>
      </c>
      <c r="J224" t="s">
        <v>30</v>
      </c>
      <c r="K224" t="s">
        <v>178</v>
      </c>
      <c r="L224" s="4">
        <v>46019</v>
      </c>
      <c r="M224" s="4">
        <v>46022</v>
      </c>
      <c r="N224" s="4"/>
      <c r="O224" t="s">
        <v>52</v>
      </c>
      <c r="P224" s="5">
        <v>0.4</v>
      </c>
      <c r="Q224" s="6">
        <v>43400</v>
      </c>
      <c r="R224" s="6">
        <v>40543.089999999997</v>
      </c>
      <c r="S224">
        <v>5</v>
      </c>
      <c r="T224" t="str">
        <f t="shared" si="6"/>
        <v/>
      </c>
      <c r="U224">
        <f>IF(COUNTIFS($B$2:B224,B224,$F$2:F224,F224)=1,1,0)</f>
        <v>0</v>
      </c>
      <c r="V224" s="13">
        <f t="shared" si="7"/>
        <v>2856.9100000000035</v>
      </c>
    </row>
    <row r="225" spans="1:22">
      <c r="A225" t="s">
        <v>419</v>
      </c>
      <c r="B225" t="s">
        <v>111</v>
      </c>
      <c r="C225" t="s">
        <v>112</v>
      </c>
      <c r="D225" t="s">
        <v>82</v>
      </c>
      <c r="E225" t="s">
        <v>83</v>
      </c>
      <c r="F225" t="s">
        <v>38</v>
      </c>
      <c r="G225" t="s">
        <v>76</v>
      </c>
      <c r="H225" t="s">
        <v>406</v>
      </c>
      <c r="I225" t="s">
        <v>29</v>
      </c>
      <c r="J225" t="s">
        <v>30</v>
      </c>
      <c r="K225" t="s">
        <v>51</v>
      </c>
      <c r="L225" s="4">
        <v>45759</v>
      </c>
      <c r="M225" s="4">
        <v>45774</v>
      </c>
      <c r="N225" s="4">
        <v>45795</v>
      </c>
      <c r="O225" t="s">
        <v>32</v>
      </c>
      <c r="P225" s="5">
        <v>1</v>
      </c>
      <c r="Q225" s="6">
        <v>25500</v>
      </c>
      <c r="R225" s="6">
        <v>26448.29</v>
      </c>
      <c r="S225">
        <v>0</v>
      </c>
      <c r="T225">
        <f t="shared" si="6"/>
        <v>21</v>
      </c>
      <c r="U225">
        <f>IF(COUNTIFS($B$2:B225,B225,$F$2:F225,F225)=1,1,0)</f>
        <v>0</v>
      </c>
      <c r="V225" s="13">
        <f t="shared" si="7"/>
        <v>-948.29000000000087</v>
      </c>
    </row>
    <row r="226" spans="1:22">
      <c r="A226" t="s">
        <v>420</v>
      </c>
      <c r="B226" t="s">
        <v>114</v>
      </c>
      <c r="C226" t="s">
        <v>115</v>
      </c>
      <c r="D226" t="s">
        <v>24</v>
      </c>
      <c r="E226" t="s">
        <v>25</v>
      </c>
      <c r="F226" t="s">
        <v>48</v>
      </c>
      <c r="G226" t="s">
        <v>84</v>
      </c>
      <c r="H226" t="s">
        <v>408</v>
      </c>
      <c r="I226" t="s">
        <v>29</v>
      </c>
      <c r="J226" t="s">
        <v>30</v>
      </c>
      <c r="K226" t="s">
        <v>31</v>
      </c>
      <c r="L226" s="4">
        <v>46096</v>
      </c>
      <c r="M226" s="4">
        <v>46114</v>
      </c>
      <c r="N226" s="4">
        <v>46120</v>
      </c>
      <c r="O226" t="s">
        <v>32</v>
      </c>
      <c r="P226" s="5">
        <v>1</v>
      </c>
      <c r="Q226" s="6">
        <v>34600</v>
      </c>
      <c r="R226" s="6">
        <v>29531.01</v>
      </c>
      <c r="S226">
        <v>1</v>
      </c>
      <c r="T226">
        <f t="shared" si="6"/>
        <v>6</v>
      </c>
      <c r="U226">
        <f>IF(COUNTIFS($B$2:B226,B226,$F$2:F226,F226)=1,1,0)</f>
        <v>0</v>
      </c>
      <c r="V226" s="13">
        <f t="shared" si="7"/>
        <v>5068.9900000000016</v>
      </c>
    </row>
    <row r="227" spans="1:22">
      <c r="A227" t="s">
        <v>421</v>
      </c>
      <c r="B227" t="s">
        <v>117</v>
      </c>
      <c r="C227" t="s">
        <v>118</v>
      </c>
      <c r="D227" t="s">
        <v>36</v>
      </c>
      <c r="E227" t="s">
        <v>37</v>
      </c>
      <c r="F227" t="s">
        <v>58</v>
      </c>
      <c r="G227" t="s">
        <v>90</v>
      </c>
      <c r="H227" t="s">
        <v>410</v>
      </c>
      <c r="I227" t="s">
        <v>29</v>
      </c>
      <c r="J227" t="s">
        <v>30</v>
      </c>
      <c r="K227" t="s">
        <v>41</v>
      </c>
      <c r="L227" s="4">
        <v>45916</v>
      </c>
      <c r="M227" s="4">
        <v>45919</v>
      </c>
      <c r="N227" s="4"/>
      <c r="O227" t="s">
        <v>52</v>
      </c>
      <c r="P227" s="5">
        <v>0.75</v>
      </c>
      <c r="Q227" s="6">
        <v>26700</v>
      </c>
      <c r="R227" s="6">
        <v>29023.599999999999</v>
      </c>
      <c r="S227">
        <v>1</v>
      </c>
      <c r="T227" t="str">
        <f t="shared" si="6"/>
        <v/>
      </c>
      <c r="U227">
        <f>IF(COUNTIFS($B$2:B227,B227,$F$2:F227,F227)=1,1,0)</f>
        <v>0</v>
      </c>
      <c r="V227" s="13">
        <f t="shared" si="7"/>
        <v>-2323.5999999999985</v>
      </c>
    </row>
    <row r="228" spans="1:22">
      <c r="A228" t="s">
        <v>422</v>
      </c>
      <c r="B228" t="s">
        <v>120</v>
      </c>
      <c r="C228" t="s">
        <v>121</v>
      </c>
      <c r="D228" t="s">
        <v>46</v>
      </c>
      <c r="E228" t="s">
        <v>47</v>
      </c>
      <c r="F228" t="s">
        <v>66</v>
      </c>
      <c r="G228" t="s">
        <v>95</v>
      </c>
      <c r="H228" t="s">
        <v>412</v>
      </c>
      <c r="I228" t="s">
        <v>29</v>
      </c>
      <c r="J228" t="s">
        <v>30</v>
      </c>
      <c r="K228" t="s">
        <v>41</v>
      </c>
      <c r="L228" s="4">
        <v>45806</v>
      </c>
      <c r="M228" s="4">
        <v>45826</v>
      </c>
      <c r="N228" s="4">
        <v>45830</v>
      </c>
      <c r="O228" t="s">
        <v>32</v>
      </c>
      <c r="P228" s="5">
        <v>1</v>
      </c>
      <c r="Q228" s="6">
        <v>31300</v>
      </c>
      <c r="R228" s="6">
        <v>31631.82</v>
      </c>
      <c r="S228">
        <v>4</v>
      </c>
      <c r="T228">
        <f t="shared" si="6"/>
        <v>4</v>
      </c>
      <c r="U228">
        <f>IF(COUNTIFS($B$2:B228,B228,$F$2:F228,F228)=1,1,0)</f>
        <v>0</v>
      </c>
      <c r="V228" s="13">
        <f t="shared" si="7"/>
        <v>-331.81999999999971</v>
      </c>
    </row>
    <row r="229" spans="1:22">
      <c r="A229" t="s">
        <v>423</v>
      </c>
      <c r="B229" t="s">
        <v>123</v>
      </c>
      <c r="C229" t="s">
        <v>124</v>
      </c>
      <c r="D229" t="s">
        <v>56</v>
      </c>
      <c r="E229" t="s">
        <v>57</v>
      </c>
      <c r="F229" t="s">
        <v>75</v>
      </c>
      <c r="G229" t="s">
        <v>27</v>
      </c>
      <c r="H229" t="s">
        <v>414</v>
      </c>
      <c r="I229" t="s">
        <v>86</v>
      </c>
      <c r="J229" t="s">
        <v>29</v>
      </c>
      <c r="K229" t="s">
        <v>143</v>
      </c>
      <c r="L229" s="4">
        <v>45721</v>
      </c>
      <c r="M229" s="4">
        <v>45747</v>
      </c>
      <c r="N229" s="4">
        <v>45754</v>
      </c>
      <c r="O229" t="s">
        <v>32</v>
      </c>
      <c r="P229" s="5">
        <v>1</v>
      </c>
      <c r="Q229" s="6">
        <v>22700</v>
      </c>
      <c r="R229" s="6">
        <v>26638.03</v>
      </c>
      <c r="S229">
        <v>3</v>
      </c>
      <c r="T229">
        <f t="shared" si="6"/>
        <v>7</v>
      </c>
      <c r="U229">
        <f>IF(COUNTIFS($B$2:B229,B229,$F$2:F229,F229)=1,1,0)</f>
        <v>0</v>
      </c>
      <c r="V229" s="13">
        <f t="shared" si="7"/>
        <v>-3938.0299999999988</v>
      </c>
    </row>
    <row r="230" spans="1:22">
      <c r="A230" t="s">
        <v>424</v>
      </c>
      <c r="B230" t="s">
        <v>126</v>
      </c>
      <c r="C230" t="s">
        <v>127</v>
      </c>
      <c r="D230" t="s">
        <v>64</v>
      </c>
      <c r="E230" t="s">
        <v>65</v>
      </c>
      <c r="F230" t="s">
        <v>26</v>
      </c>
      <c r="G230" t="s">
        <v>39</v>
      </c>
      <c r="H230" t="s">
        <v>398</v>
      </c>
      <c r="I230" t="s">
        <v>69</v>
      </c>
      <c r="J230" t="s">
        <v>30</v>
      </c>
      <c r="K230" t="s">
        <v>31</v>
      </c>
      <c r="L230" s="4">
        <v>45729</v>
      </c>
      <c r="M230" s="4">
        <v>45758</v>
      </c>
      <c r="N230" s="4">
        <v>45756</v>
      </c>
      <c r="O230" t="s">
        <v>32</v>
      </c>
      <c r="P230" s="5">
        <v>1</v>
      </c>
      <c r="Q230" s="6">
        <v>34700</v>
      </c>
      <c r="R230" s="6">
        <v>29138.74</v>
      </c>
      <c r="S230">
        <v>3</v>
      </c>
      <c r="T230">
        <f t="shared" si="6"/>
        <v>0</v>
      </c>
      <c r="U230">
        <f>IF(COUNTIFS($B$2:B230,B230,$F$2:F230,F230)=1,1,0)</f>
        <v>0</v>
      </c>
      <c r="V230" s="13">
        <f t="shared" si="7"/>
        <v>5561.2599999999984</v>
      </c>
    </row>
    <row r="231" spans="1:22">
      <c r="A231" t="s">
        <v>425</v>
      </c>
      <c r="B231" t="s">
        <v>129</v>
      </c>
      <c r="C231" t="s">
        <v>130</v>
      </c>
      <c r="D231" t="s">
        <v>73</v>
      </c>
      <c r="E231" t="s">
        <v>74</v>
      </c>
      <c r="F231" t="s">
        <v>38</v>
      </c>
      <c r="G231" t="s">
        <v>49</v>
      </c>
      <c r="H231" t="s">
        <v>400</v>
      </c>
      <c r="I231" t="s">
        <v>29</v>
      </c>
      <c r="J231" t="s">
        <v>29</v>
      </c>
      <c r="K231" t="s">
        <v>31</v>
      </c>
      <c r="L231" s="4">
        <v>45903</v>
      </c>
      <c r="M231" s="4">
        <v>45920</v>
      </c>
      <c r="N231" s="4"/>
      <c r="O231" t="s">
        <v>52</v>
      </c>
      <c r="P231" s="5">
        <v>0.75</v>
      </c>
      <c r="Q231" s="6">
        <v>29200</v>
      </c>
      <c r="R231" s="6">
        <v>36275.06</v>
      </c>
      <c r="S231">
        <v>1</v>
      </c>
      <c r="T231" t="str">
        <f t="shared" si="6"/>
        <v/>
      </c>
      <c r="U231">
        <f>IF(COUNTIFS($B$2:B231,B231,$F$2:F231,F231)=1,1,0)</f>
        <v>0</v>
      </c>
      <c r="V231" s="13">
        <f t="shared" si="7"/>
        <v>-7075.0599999999977</v>
      </c>
    </row>
    <row r="232" spans="1:22">
      <c r="A232" t="s">
        <v>426</v>
      </c>
      <c r="B232" t="s">
        <v>132</v>
      </c>
      <c r="C232" t="s">
        <v>133</v>
      </c>
      <c r="D232" t="s">
        <v>82</v>
      </c>
      <c r="E232" t="s">
        <v>83</v>
      </c>
      <c r="F232" t="s">
        <v>48</v>
      </c>
      <c r="G232" t="s">
        <v>59</v>
      </c>
      <c r="H232" t="s">
        <v>402</v>
      </c>
      <c r="I232" t="s">
        <v>69</v>
      </c>
      <c r="J232" t="s">
        <v>30</v>
      </c>
      <c r="K232" t="s">
        <v>143</v>
      </c>
      <c r="L232" s="4">
        <v>45887</v>
      </c>
      <c r="M232" s="4">
        <v>45890</v>
      </c>
      <c r="N232" s="4"/>
      <c r="O232" t="s">
        <v>42</v>
      </c>
      <c r="P232" s="5">
        <v>0</v>
      </c>
      <c r="Q232" s="6">
        <v>32900</v>
      </c>
      <c r="R232" s="6">
        <v>0</v>
      </c>
      <c r="S232">
        <v>1</v>
      </c>
      <c r="T232" t="str">
        <f t="shared" si="6"/>
        <v/>
      </c>
      <c r="U232">
        <f>IF(COUNTIFS($B$2:B232,B232,$F$2:F232,F232)=1,1,0)</f>
        <v>0</v>
      </c>
      <c r="V232" s="13">
        <f t="shared" si="7"/>
        <v>32900</v>
      </c>
    </row>
    <row r="233" spans="1:22">
      <c r="A233" t="s">
        <v>427</v>
      </c>
      <c r="B233" t="s">
        <v>135</v>
      </c>
      <c r="C233" t="s">
        <v>136</v>
      </c>
      <c r="D233" t="s">
        <v>24</v>
      </c>
      <c r="E233" t="s">
        <v>25</v>
      </c>
      <c r="F233" t="s">
        <v>58</v>
      </c>
      <c r="G233" t="s">
        <v>67</v>
      </c>
      <c r="H233" t="s">
        <v>404</v>
      </c>
      <c r="I233" t="s">
        <v>29</v>
      </c>
      <c r="J233" t="s">
        <v>29</v>
      </c>
      <c r="K233" t="s">
        <v>31</v>
      </c>
      <c r="L233" s="4">
        <v>45966</v>
      </c>
      <c r="M233" s="4">
        <v>45972</v>
      </c>
      <c r="N233" s="4">
        <v>45969</v>
      </c>
      <c r="O233" t="s">
        <v>32</v>
      </c>
      <c r="P233" s="5">
        <v>1</v>
      </c>
      <c r="Q233" s="6">
        <v>28500</v>
      </c>
      <c r="R233" s="6">
        <v>28714.7</v>
      </c>
      <c r="S233">
        <v>2</v>
      </c>
      <c r="T233">
        <f t="shared" si="6"/>
        <v>0</v>
      </c>
      <c r="U233">
        <f>IF(COUNTIFS($B$2:B233,B233,$F$2:F233,F233)=1,1,0)</f>
        <v>0</v>
      </c>
      <c r="V233" s="13">
        <f t="shared" si="7"/>
        <v>-214.70000000000073</v>
      </c>
    </row>
    <row r="234" spans="1:22">
      <c r="A234" t="s">
        <v>428</v>
      </c>
      <c r="B234" t="s">
        <v>138</v>
      </c>
      <c r="C234" t="s">
        <v>139</v>
      </c>
      <c r="D234" t="s">
        <v>36</v>
      </c>
      <c r="E234" t="s">
        <v>37</v>
      </c>
      <c r="F234" t="s">
        <v>66</v>
      </c>
      <c r="G234" t="s">
        <v>76</v>
      </c>
      <c r="H234" t="s">
        <v>406</v>
      </c>
      <c r="I234" t="s">
        <v>69</v>
      </c>
      <c r="J234" t="s">
        <v>30</v>
      </c>
      <c r="K234" t="s">
        <v>178</v>
      </c>
      <c r="L234" s="4">
        <v>46088</v>
      </c>
      <c r="M234" s="4">
        <v>46109</v>
      </c>
      <c r="N234" s="4"/>
      <c r="O234" t="s">
        <v>52</v>
      </c>
      <c r="P234" s="5">
        <v>0.85</v>
      </c>
      <c r="Q234" s="6">
        <v>11300</v>
      </c>
      <c r="R234" s="6">
        <v>12688.77</v>
      </c>
      <c r="S234">
        <v>0</v>
      </c>
      <c r="T234" t="str">
        <f t="shared" si="6"/>
        <v/>
      </c>
      <c r="U234">
        <f>IF(COUNTIFS($B$2:B234,B234,$F$2:F234,F234)=1,1,0)</f>
        <v>0</v>
      </c>
      <c r="V234" s="13">
        <f t="shared" si="7"/>
        <v>-1388.7700000000004</v>
      </c>
    </row>
    <row r="235" spans="1:22">
      <c r="A235" t="s">
        <v>429</v>
      </c>
      <c r="B235" t="s">
        <v>141</v>
      </c>
      <c r="C235" t="s">
        <v>142</v>
      </c>
      <c r="D235" t="s">
        <v>46</v>
      </c>
      <c r="E235" t="s">
        <v>47</v>
      </c>
      <c r="F235" t="s">
        <v>75</v>
      </c>
      <c r="G235" t="s">
        <v>84</v>
      </c>
      <c r="H235" t="s">
        <v>408</v>
      </c>
      <c r="I235" t="s">
        <v>69</v>
      </c>
      <c r="J235" t="s">
        <v>69</v>
      </c>
      <c r="K235" t="s">
        <v>78</v>
      </c>
      <c r="L235" s="4">
        <v>45699</v>
      </c>
      <c r="M235" s="4">
        <v>45714</v>
      </c>
      <c r="N235" s="4"/>
      <c r="O235" t="s">
        <v>52</v>
      </c>
      <c r="P235" s="5">
        <v>0.75</v>
      </c>
      <c r="Q235" s="6">
        <v>22200</v>
      </c>
      <c r="R235" s="6">
        <v>19416.18</v>
      </c>
      <c r="S235">
        <v>2</v>
      </c>
      <c r="T235" t="str">
        <f t="shared" si="6"/>
        <v/>
      </c>
      <c r="U235">
        <f>IF(COUNTIFS($B$2:B235,B235,$F$2:F235,F235)=1,1,0)</f>
        <v>0</v>
      </c>
      <c r="V235" s="13">
        <f t="shared" si="7"/>
        <v>2783.8199999999997</v>
      </c>
    </row>
    <row r="236" spans="1:22">
      <c r="A236" t="s">
        <v>430</v>
      </c>
      <c r="B236" t="s">
        <v>145</v>
      </c>
      <c r="C236" t="s">
        <v>146</v>
      </c>
      <c r="D236" t="s">
        <v>56</v>
      </c>
      <c r="E236" t="s">
        <v>57</v>
      </c>
      <c r="F236" t="s">
        <v>26</v>
      </c>
      <c r="G236" t="s">
        <v>90</v>
      </c>
      <c r="H236" t="s">
        <v>410</v>
      </c>
      <c r="I236" t="s">
        <v>30</v>
      </c>
      <c r="J236" t="s">
        <v>29</v>
      </c>
      <c r="K236" t="s">
        <v>51</v>
      </c>
      <c r="L236" s="4">
        <v>46034</v>
      </c>
      <c r="M236" s="4">
        <v>46055</v>
      </c>
      <c r="N236" s="4"/>
      <c r="O236" t="s">
        <v>109</v>
      </c>
      <c r="P236" s="5">
        <v>0.1</v>
      </c>
      <c r="Q236" s="6">
        <v>40400</v>
      </c>
      <c r="R236" s="6">
        <v>35964.83</v>
      </c>
      <c r="S236">
        <v>3</v>
      </c>
      <c r="T236" t="str">
        <f t="shared" si="6"/>
        <v/>
      </c>
      <c r="U236">
        <f>IF(COUNTIFS($B$2:B236,B236,$F$2:F236,F236)=1,1,0)</f>
        <v>0</v>
      </c>
      <c r="V236" s="13">
        <f t="shared" si="7"/>
        <v>4435.1699999999983</v>
      </c>
    </row>
    <row r="237" spans="1:22">
      <c r="A237" t="s">
        <v>431</v>
      </c>
      <c r="B237" t="s">
        <v>148</v>
      </c>
      <c r="C237" t="s">
        <v>149</v>
      </c>
      <c r="D237" t="s">
        <v>64</v>
      </c>
      <c r="E237" t="s">
        <v>65</v>
      </c>
      <c r="F237" t="s">
        <v>38</v>
      </c>
      <c r="G237" t="s">
        <v>95</v>
      </c>
      <c r="H237" t="s">
        <v>412</v>
      </c>
      <c r="I237" t="s">
        <v>86</v>
      </c>
      <c r="J237" t="s">
        <v>29</v>
      </c>
      <c r="K237" t="s">
        <v>143</v>
      </c>
      <c r="L237" s="4">
        <v>45833</v>
      </c>
      <c r="M237" s="4">
        <v>45837</v>
      </c>
      <c r="N237" s="4">
        <v>45837</v>
      </c>
      <c r="O237" t="s">
        <v>32</v>
      </c>
      <c r="P237" s="5">
        <v>1</v>
      </c>
      <c r="Q237" s="6">
        <v>31300</v>
      </c>
      <c r="R237" s="6">
        <v>31108.67</v>
      </c>
      <c r="S237">
        <v>3</v>
      </c>
      <c r="T237">
        <f t="shared" si="6"/>
        <v>0</v>
      </c>
      <c r="U237">
        <f>IF(COUNTIFS($B$2:B237,B237,$F$2:F237,F237)=1,1,0)</f>
        <v>0</v>
      </c>
      <c r="V237" s="13">
        <f t="shared" si="7"/>
        <v>191.33000000000175</v>
      </c>
    </row>
    <row r="238" spans="1:22">
      <c r="A238" t="s">
        <v>432</v>
      </c>
      <c r="B238" t="s">
        <v>151</v>
      </c>
      <c r="C238" t="s">
        <v>152</v>
      </c>
      <c r="D238" t="s">
        <v>73</v>
      </c>
      <c r="E238" t="s">
        <v>74</v>
      </c>
      <c r="F238" t="s">
        <v>48</v>
      </c>
      <c r="G238" t="s">
        <v>27</v>
      </c>
      <c r="H238" t="s">
        <v>414</v>
      </c>
      <c r="I238" t="s">
        <v>69</v>
      </c>
      <c r="J238" t="s">
        <v>30</v>
      </c>
      <c r="K238" t="s">
        <v>41</v>
      </c>
      <c r="L238" s="4">
        <v>46033</v>
      </c>
      <c r="M238" s="4">
        <v>46042</v>
      </c>
      <c r="N238" s="4">
        <v>46044</v>
      </c>
      <c r="O238" t="s">
        <v>32</v>
      </c>
      <c r="P238" s="5">
        <v>1</v>
      </c>
      <c r="Q238" s="6">
        <v>18800</v>
      </c>
      <c r="R238" s="6">
        <v>15910.11</v>
      </c>
      <c r="S238">
        <v>2</v>
      </c>
      <c r="T238">
        <f t="shared" si="6"/>
        <v>2</v>
      </c>
      <c r="U238">
        <f>IF(COUNTIFS($B$2:B238,B238,$F$2:F238,F238)=1,1,0)</f>
        <v>0</v>
      </c>
      <c r="V238" s="13">
        <f t="shared" si="7"/>
        <v>2889.8899999999994</v>
      </c>
    </row>
    <row r="239" spans="1:22">
      <c r="A239" t="s">
        <v>433</v>
      </c>
      <c r="B239" t="s">
        <v>154</v>
      </c>
      <c r="C239" t="s">
        <v>155</v>
      </c>
      <c r="D239" t="s">
        <v>82</v>
      </c>
      <c r="E239" t="s">
        <v>83</v>
      </c>
      <c r="F239" t="s">
        <v>58</v>
      </c>
      <c r="G239" t="s">
        <v>39</v>
      </c>
      <c r="H239" t="s">
        <v>398</v>
      </c>
      <c r="I239" t="s">
        <v>29</v>
      </c>
      <c r="J239" t="s">
        <v>29</v>
      </c>
      <c r="K239" t="s">
        <v>31</v>
      </c>
      <c r="L239" s="4">
        <v>46133</v>
      </c>
      <c r="M239" s="4">
        <v>46146</v>
      </c>
      <c r="N239" s="4"/>
      <c r="O239" t="s">
        <v>52</v>
      </c>
      <c r="P239" s="5">
        <v>0.85</v>
      </c>
      <c r="Q239" s="6">
        <v>7600</v>
      </c>
      <c r="R239" s="6">
        <v>7983.37</v>
      </c>
      <c r="S239">
        <v>4</v>
      </c>
      <c r="T239" t="str">
        <f t="shared" si="6"/>
        <v/>
      </c>
      <c r="U239">
        <f>IF(COUNTIFS($B$2:B239,B239,$F$2:F239,F239)=1,1,0)</f>
        <v>0</v>
      </c>
      <c r="V239" s="13">
        <f t="shared" si="7"/>
        <v>-383.36999999999989</v>
      </c>
    </row>
    <row r="240" spans="1:22">
      <c r="A240" t="s">
        <v>434</v>
      </c>
      <c r="B240" t="s">
        <v>157</v>
      </c>
      <c r="C240" t="s">
        <v>158</v>
      </c>
      <c r="D240" t="s">
        <v>24</v>
      </c>
      <c r="E240" t="s">
        <v>25</v>
      </c>
      <c r="F240" t="s">
        <v>66</v>
      </c>
      <c r="G240" t="s">
        <v>49</v>
      </c>
      <c r="H240" t="s">
        <v>400</v>
      </c>
      <c r="I240" t="s">
        <v>29</v>
      </c>
      <c r="J240" t="s">
        <v>69</v>
      </c>
      <c r="K240" t="s">
        <v>31</v>
      </c>
      <c r="L240" s="4">
        <v>46133</v>
      </c>
      <c r="M240" s="4">
        <v>46143</v>
      </c>
      <c r="N240" s="4">
        <v>46144</v>
      </c>
      <c r="O240" t="s">
        <v>32</v>
      </c>
      <c r="P240" s="5">
        <v>1</v>
      </c>
      <c r="Q240" s="6">
        <v>16300</v>
      </c>
      <c r="R240" s="6">
        <v>17972.689999999999</v>
      </c>
      <c r="S240">
        <v>0</v>
      </c>
      <c r="T240">
        <f t="shared" si="6"/>
        <v>1</v>
      </c>
      <c r="U240">
        <f>IF(COUNTIFS($B$2:B240,B240,$F$2:F240,F240)=1,1,0)</f>
        <v>0</v>
      </c>
      <c r="V240" s="13">
        <f t="shared" si="7"/>
        <v>-1672.6899999999987</v>
      </c>
    </row>
    <row r="241" spans="1:22">
      <c r="A241" t="s">
        <v>435</v>
      </c>
      <c r="B241" t="s">
        <v>160</v>
      </c>
      <c r="C241" t="s">
        <v>161</v>
      </c>
      <c r="D241" t="s">
        <v>36</v>
      </c>
      <c r="E241" t="s">
        <v>37</v>
      </c>
      <c r="F241" t="s">
        <v>75</v>
      </c>
      <c r="G241" t="s">
        <v>67</v>
      </c>
      <c r="H241" t="s">
        <v>404</v>
      </c>
      <c r="I241" t="s">
        <v>29</v>
      </c>
      <c r="J241" t="s">
        <v>29</v>
      </c>
      <c r="K241" t="s">
        <v>31</v>
      </c>
      <c r="L241" s="4">
        <v>46011</v>
      </c>
      <c r="M241" s="4">
        <v>46039</v>
      </c>
      <c r="N241" s="4"/>
      <c r="O241" t="s">
        <v>109</v>
      </c>
      <c r="P241" s="5">
        <v>0.5</v>
      </c>
      <c r="Q241" s="6">
        <v>11400</v>
      </c>
      <c r="R241" s="6">
        <v>10478.25</v>
      </c>
      <c r="S241">
        <v>1</v>
      </c>
      <c r="T241" t="str">
        <f t="shared" si="6"/>
        <v/>
      </c>
      <c r="U241">
        <f>IF(COUNTIFS($B$2:B241,B241,$F$2:F241,F241)=1,1,0)</f>
        <v>0</v>
      </c>
      <c r="V241" s="13">
        <f t="shared" si="7"/>
        <v>921.75</v>
      </c>
    </row>
    <row r="242" spans="1:22">
      <c r="A242" t="s">
        <v>436</v>
      </c>
      <c r="B242" t="s">
        <v>22</v>
      </c>
      <c r="C242" t="s">
        <v>23</v>
      </c>
      <c r="D242" t="s">
        <v>24</v>
      </c>
      <c r="E242" t="s">
        <v>25</v>
      </c>
      <c r="F242" t="s">
        <v>26</v>
      </c>
      <c r="G242" t="s">
        <v>76</v>
      </c>
      <c r="H242" t="s">
        <v>437</v>
      </c>
      <c r="I242" t="s">
        <v>29</v>
      </c>
      <c r="J242" t="s">
        <v>29</v>
      </c>
      <c r="K242" t="s">
        <v>31</v>
      </c>
      <c r="L242" s="4">
        <v>46065</v>
      </c>
      <c r="M242" s="4">
        <v>46093</v>
      </c>
      <c r="N242" s="4"/>
      <c r="O242" t="s">
        <v>32</v>
      </c>
      <c r="P242" s="5">
        <v>0.25</v>
      </c>
      <c r="Q242" s="6">
        <v>5100</v>
      </c>
      <c r="R242" s="6">
        <v>5702.89</v>
      </c>
      <c r="S242">
        <v>3</v>
      </c>
      <c r="T242" t="str">
        <f t="shared" si="6"/>
        <v/>
      </c>
      <c r="U242">
        <f>IF(COUNTIFS($B$2:B242,B242,$F$2:F242,F242)=1,1,0)</f>
        <v>0</v>
      </c>
      <c r="V242" s="13">
        <f t="shared" si="7"/>
        <v>-602.89000000000033</v>
      </c>
    </row>
    <row r="243" spans="1:22">
      <c r="A243" t="s">
        <v>438</v>
      </c>
      <c r="B243" t="s">
        <v>34</v>
      </c>
      <c r="C243" t="s">
        <v>35</v>
      </c>
      <c r="D243" t="s">
        <v>36</v>
      </c>
      <c r="E243" t="s">
        <v>37</v>
      </c>
      <c r="F243" t="s">
        <v>38</v>
      </c>
      <c r="G243" t="s">
        <v>84</v>
      </c>
      <c r="H243" t="s">
        <v>439</v>
      </c>
      <c r="I243" t="s">
        <v>69</v>
      </c>
      <c r="J243" t="s">
        <v>29</v>
      </c>
      <c r="K243" t="s">
        <v>31</v>
      </c>
      <c r="L243" s="4">
        <v>45747</v>
      </c>
      <c r="M243" s="4">
        <v>45752</v>
      </c>
      <c r="N243" s="4"/>
      <c r="O243" t="s">
        <v>32</v>
      </c>
      <c r="P243" s="5">
        <v>0</v>
      </c>
      <c r="Q243" s="6">
        <v>14900</v>
      </c>
      <c r="R243" s="6">
        <v>0</v>
      </c>
      <c r="S243">
        <v>2</v>
      </c>
      <c r="T243" t="str">
        <f t="shared" si="6"/>
        <v/>
      </c>
      <c r="U243">
        <f>IF(COUNTIFS($B$2:B243,B243,$F$2:F243,F243)=1,1,0)</f>
        <v>0</v>
      </c>
      <c r="V243" s="13">
        <f t="shared" si="7"/>
        <v>14900</v>
      </c>
    </row>
    <row r="244" spans="1:22">
      <c r="A244" t="s">
        <v>440</v>
      </c>
      <c r="B244" t="s">
        <v>44</v>
      </c>
      <c r="C244" t="s">
        <v>45</v>
      </c>
      <c r="D244" t="s">
        <v>46</v>
      </c>
      <c r="E244" t="s">
        <v>47</v>
      </c>
      <c r="F244" t="s">
        <v>48</v>
      </c>
      <c r="G244" t="s">
        <v>90</v>
      </c>
      <c r="H244" t="s">
        <v>441</v>
      </c>
      <c r="I244" t="s">
        <v>29</v>
      </c>
      <c r="J244" t="s">
        <v>30</v>
      </c>
      <c r="K244" t="s">
        <v>31</v>
      </c>
      <c r="L244" s="4">
        <v>45817</v>
      </c>
      <c r="M244" s="4">
        <v>45836</v>
      </c>
      <c r="N244" s="4"/>
      <c r="O244" t="s">
        <v>32</v>
      </c>
      <c r="P244" s="5">
        <v>0.25</v>
      </c>
      <c r="Q244" s="6">
        <v>5400</v>
      </c>
      <c r="R244" s="6">
        <v>4753.2700000000004</v>
      </c>
      <c r="S244">
        <v>1</v>
      </c>
      <c r="T244" t="str">
        <f t="shared" si="6"/>
        <v/>
      </c>
      <c r="U244">
        <f>IF(COUNTIFS($B$2:B244,B244,$F$2:F244,F244)=1,1,0)</f>
        <v>0</v>
      </c>
      <c r="V244" s="13">
        <f t="shared" si="7"/>
        <v>646.72999999999956</v>
      </c>
    </row>
    <row r="245" spans="1:22">
      <c r="A245" t="s">
        <v>442</v>
      </c>
      <c r="B245" t="s">
        <v>54</v>
      </c>
      <c r="C245" t="s">
        <v>55</v>
      </c>
      <c r="D245" t="s">
        <v>56</v>
      </c>
      <c r="E245" t="s">
        <v>57</v>
      </c>
      <c r="F245" t="s">
        <v>58</v>
      </c>
      <c r="G245" t="s">
        <v>95</v>
      </c>
      <c r="H245" t="s">
        <v>443</v>
      </c>
      <c r="I245" t="s">
        <v>69</v>
      </c>
      <c r="J245" t="s">
        <v>69</v>
      </c>
      <c r="K245" t="s">
        <v>31</v>
      </c>
      <c r="L245" s="4">
        <v>46147</v>
      </c>
      <c r="M245" s="4">
        <v>46162</v>
      </c>
      <c r="N245" s="4">
        <v>46163</v>
      </c>
      <c r="O245" t="s">
        <v>32</v>
      </c>
      <c r="P245" s="5">
        <v>1</v>
      </c>
      <c r="Q245" s="6">
        <v>44700</v>
      </c>
      <c r="R245" s="6">
        <v>41610.94</v>
      </c>
      <c r="S245">
        <v>3</v>
      </c>
      <c r="T245">
        <f t="shared" si="6"/>
        <v>1</v>
      </c>
      <c r="U245">
        <f>IF(COUNTIFS($B$2:B245,B245,$F$2:F245,F245)=1,1,0)</f>
        <v>0</v>
      </c>
      <c r="V245" s="13">
        <f t="shared" si="7"/>
        <v>3089.0599999999977</v>
      </c>
    </row>
    <row r="246" spans="1:22">
      <c r="A246" t="s">
        <v>444</v>
      </c>
      <c r="B246" t="s">
        <v>62</v>
      </c>
      <c r="C246" t="s">
        <v>63</v>
      </c>
      <c r="D246" t="s">
        <v>64</v>
      </c>
      <c r="E246" t="s">
        <v>65</v>
      </c>
      <c r="F246" t="s">
        <v>66</v>
      </c>
      <c r="G246" t="s">
        <v>27</v>
      </c>
      <c r="H246" t="s">
        <v>445</v>
      </c>
      <c r="I246" t="s">
        <v>69</v>
      </c>
      <c r="J246" t="s">
        <v>30</v>
      </c>
      <c r="K246" t="s">
        <v>31</v>
      </c>
      <c r="L246" s="4">
        <v>45871</v>
      </c>
      <c r="M246" s="4">
        <v>45889</v>
      </c>
      <c r="N246" s="4"/>
      <c r="O246" t="s">
        <v>32</v>
      </c>
      <c r="P246" s="5">
        <v>0</v>
      </c>
      <c r="Q246" s="6">
        <v>8800</v>
      </c>
      <c r="R246" s="6">
        <v>0</v>
      </c>
      <c r="S246">
        <v>1</v>
      </c>
      <c r="T246" t="str">
        <f t="shared" si="6"/>
        <v/>
      </c>
      <c r="U246">
        <f>IF(COUNTIFS($B$2:B246,B246,$F$2:F246,F246)=1,1,0)</f>
        <v>0</v>
      </c>
      <c r="V246" s="13">
        <f t="shared" si="7"/>
        <v>8800</v>
      </c>
    </row>
    <row r="247" spans="1:22">
      <c r="A247" t="s">
        <v>446</v>
      </c>
      <c r="B247" t="s">
        <v>71</v>
      </c>
      <c r="C247" t="s">
        <v>72</v>
      </c>
      <c r="D247" t="s">
        <v>73</v>
      </c>
      <c r="E247" t="s">
        <v>74</v>
      </c>
      <c r="F247" t="s">
        <v>75</v>
      </c>
      <c r="G247" t="s">
        <v>39</v>
      </c>
      <c r="H247" t="s">
        <v>447</v>
      </c>
      <c r="I247" t="s">
        <v>69</v>
      </c>
      <c r="J247" t="s">
        <v>30</v>
      </c>
      <c r="K247" t="s">
        <v>178</v>
      </c>
      <c r="L247" s="4">
        <v>45914</v>
      </c>
      <c r="M247" s="4">
        <v>45936</v>
      </c>
      <c r="N247" s="4">
        <v>45944</v>
      </c>
      <c r="O247" t="s">
        <v>32</v>
      </c>
      <c r="P247" s="5">
        <v>1</v>
      </c>
      <c r="Q247" s="6">
        <v>21400</v>
      </c>
      <c r="R247" s="6">
        <v>22008.78</v>
      </c>
      <c r="S247">
        <v>1</v>
      </c>
      <c r="T247">
        <f t="shared" si="6"/>
        <v>8</v>
      </c>
      <c r="U247">
        <f>IF(COUNTIFS($B$2:B247,B247,$F$2:F247,F247)=1,1,0)</f>
        <v>0</v>
      </c>
      <c r="V247" s="13">
        <f t="shared" si="7"/>
        <v>-608.77999999999884</v>
      </c>
    </row>
    <row r="248" spans="1:22">
      <c r="A248" t="s">
        <v>448</v>
      </c>
      <c r="B248" t="s">
        <v>80</v>
      </c>
      <c r="C248" t="s">
        <v>81</v>
      </c>
      <c r="D248" t="s">
        <v>82</v>
      </c>
      <c r="E248" t="s">
        <v>83</v>
      </c>
      <c r="F248" t="s">
        <v>26</v>
      </c>
      <c r="G248" t="s">
        <v>49</v>
      </c>
      <c r="H248" t="s">
        <v>449</v>
      </c>
      <c r="I248" t="s">
        <v>29</v>
      </c>
      <c r="J248" t="s">
        <v>29</v>
      </c>
      <c r="K248" t="s">
        <v>31</v>
      </c>
      <c r="L248" s="4">
        <v>45861</v>
      </c>
      <c r="M248" s="4">
        <v>45878</v>
      </c>
      <c r="N248" s="4"/>
      <c r="O248" t="s">
        <v>32</v>
      </c>
      <c r="P248" s="5">
        <v>0.9</v>
      </c>
      <c r="Q248" s="6">
        <v>37300</v>
      </c>
      <c r="R248" s="6">
        <v>34835.25</v>
      </c>
      <c r="S248">
        <v>0</v>
      </c>
      <c r="T248" t="str">
        <f t="shared" si="6"/>
        <v/>
      </c>
      <c r="U248">
        <f>IF(COUNTIFS($B$2:B248,B248,$F$2:F248,F248)=1,1,0)</f>
        <v>0</v>
      </c>
      <c r="V248" s="13">
        <f t="shared" si="7"/>
        <v>2464.75</v>
      </c>
    </row>
    <row r="249" spans="1:22">
      <c r="A249" t="s">
        <v>450</v>
      </c>
      <c r="B249" t="s">
        <v>88</v>
      </c>
      <c r="C249" t="s">
        <v>89</v>
      </c>
      <c r="D249" t="s">
        <v>24</v>
      </c>
      <c r="E249" t="s">
        <v>25</v>
      </c>
      <c r="F249" t="s">
        <v>38</v>
      </c>
      <c r="G249" t="s">
        <v>59</v>
      </c>
      <c r="H249" t="s">
        <v>451</v>
      </c>
      <c r="I249" t="s">
        <v>29</v>
      </c>
      <c r="J249" t="s">
        <v>29</v>
      </c>
      <c r="K249" t="s">
        <v>78</v>
      </c>
      <c r="L249" s="4">
        <v>45856</v>
      </c>
      <c r="M249" s="4">
        <v>45869</v>
      </c>
      <c r="N249" s="4"/>
      <c r="O249" t="s">
        <v>32</v>
      </c>
      <c r="P249" s="5">
        <v>0</v>
      </c>
      <c r="Q249" s="6">
        <v>18800</v>
      </c>
      <c r="R249" s="6">
        <v>0</v>
      </c>
      <c r="S249">
        <v>4</v>
      </c>
      <c r="T249" t="str">
        <f t="shared" si="6"/>
        <v/>
      </c>
      <c r="U249">
        <f>IF(COUNTIFS($B$2:B249,B249,$F$2:F249,F249)=1,1,0)</f>
        <v>0</v>
      </c>
      <c r="V249" s="13">
        <f t="shared" si="7"/>
        <v>18800</v>
      </c>
    </row>
    <row r="250" spans="1:22">
      <c r="A250" t="s">
        <v>452</v>
      </c>
      <c r="B250" t="s">
        <v>93</v>
      </c>
      <c r="C250" t="s">
        <v>94</v>
      </c>
      <c r="D250" t="s">
        <v>36</v>
      </c>
      <c r="E250" t="s">
        <v>37</v>
      </c>
      <c r="F250" t="s">
        <v>48</v>
      </c>
      <c r="G250" t="s">
        <v>67</v>
      </c>
      <c r="H250" t="s">
        <v>453</v>
      </c>
      <c r="I250" t="s">
        <v>69</v>
      </c>
      <c r="J250" t="s">
        <v>69</v>
      </c>
      <c r="K250" t="s">
        <v>78</v>
      </c>
      <c r="L250" s="4">
        <v>46123</v>
      </c>
      <c r="M250" s="4">
        <v>46138</v>
      </c>
      <c r="N250" s="4"/>
      <c r="O250" t="s">
        <v>52</v>
      </c>
      <c r="P250" s="5">
        <v>0.9</v>
      </c>
      <c r="Q250" s="6">
        <v>18600</v>
      </c>
      <c r="R250" s="6">
        <v>21891.22</v>
      </c>
      <c r="S250">
        <v>4</v>
      </c>
      <c r="T250" t="str">
        <f t="shared" si="6"/>
        <v/>
      </c>
      <c r="U250">
        <f>IF(COUNTIFS($B$2:B250,B250,$F$2:F250,F250)=1,1,0)</f>
        <v>0</v>
      </c>
      <c r="V250" s="13">
        <f t="shared" si="7"/>
        <v>-3291.2200000000012</v>
      </c>
    </row>
    <row r="251" spans="1:22">
      <c r="A251" t="s">
        <v>454</v>
      </c>
      <c r="B251" t="s">
        <v>98</v>
      </c>
      <c r="C251" t="s">
        <v>99</v>
      </c>
      <c r="D251" t="s">
        <v>46</v>
      </c>
      <c r="E251" t="s">
        <v>47</v>
      </c>
      <c r="F251" t="s">
        <v>58</v>
      </c>
      <c r="G251" t="s">
        <v>76</v>
      </c>
      <c r="H251" t="s">
        <v>437</v>
      </c>
      <c r="I251" t="s">
        <v>69</v>
      </c>
      <c r="J251" t="s">
        <v>29</v>
      </c>
      <c r="K251" t="s">
        <v>78</v>
      </c>
      <c r="L251" s="4">
        <v>45855</v>
      </c>
      <c r="M251" s="4">
        <v>45858</v>
      </c>
      <c r="N251" s="4"/>
      <c r="O251" t="s">
        <v>109</v>
      </c>
      <c r="P251" s="5">
        <v>0.5</v>
      </c>
      <c r="Q251" s="6">
        <v>42500</v>
      </c>
      <c r="R251" s="6">
        <v>45446.3</v>
      </c>
      <c r="S251">
        <v>4</v>
      </c>
      <c r="T251" t="str">
        <f t="shared" si="6"/>
        <v/>
      </c>
      <c r="U251">
        <f>IF(COUNTIFS($B$2:B251,B251,$F$2:F251,F251)=1,1,0)</f>
        <v>0</v>
      </c>
      <c r="V251" s="13">
        <f t="shared" si="7"/>
        <v>-2946.3000000000029</v>
      </c>
    </row>
    <row r="252" spans="1:22">
      <c r="A252" t="s">
        <v>455</v>
      </c>
      <c r="B252" t="s">
        <v>101</v>
      </c>
      <c r="C252" t="s">
        <v>102</v>
      </c>
      <c r="D252" t="s">
        <v>56</v>
      </c>
      <c r="E252" t="s">
        <v>57</v>
      </c>
      <c r="F252" t="s">
        <v>66</v>
      </c>
      <c r="G252" t="s">
        <v>84</v>
      </c>
      <c r="H252" t="s">
        <v>439</v>
      </c>
      <c r="I252" t="s">
        <v>69</v>
      </c>
      <c r="J252" t="s">
        <v>30</v>
      </c>
      <c r="K252" t="s">
        <v>41</v>
      </c>
      <c r="L252" s="4">
        <v>46113</v>
      </c>
      <c r="M252" s="4">
        <v>46137</v>
      </c>
      <c r="N252" s="4">
        <v>46136</v>
      </c>
      <c r="O252" t="s">
        <v>32</v>
      </c>
      <c r="P252" s="5">
        <v>1</v>
      </c>
      <c r="Q252" s="6">
        <v>30200</v>
      </c>
      <c r="R252" s="6">
        <v>28966.14</v>
      </c>
      <c r="S252">
        <v>1</v>
      </c>
      <c r="T252">
        <f t="shared" si="6"/>
        <v>0</v>
      </c>
      <c r="U252">
        <f>IF(COUNTIFS($B$2:B252,B252,$F$2:F252,F252)=1,1,0)</f>
        <v>0</v>
      </c>
      <c r="V252" s="13">
        <f t="shared" si="7"/>
        <v>1233.8600000000006</v>
      </c>
    </row>
    <row r="253" spans="1:22">
      <c r="A253" t="s">
        <v>456</v>
      </c>
      <c r="B253" t="s">
        <v>104</v>
      </c>
      <c r="C253" t="s">
        <v>105</v>
      </c>
      <c r="D253" t="s">
        <v>64</v>
      </c>
      <c r="E253" t="s">
        <v>65</v>
      </c>
      <c r="F253" t="s">
        <v>75</v>
      </c>
      <c r="G253" t="s">
        <v>90</v>
      </c>
      <c r="H253" t="s">
        <v>441</v>
      </c>
      <c r="I253" t="s">
        <v>30</v>
      </c>
      <c r="J253" t="s">
        <v>69</v>
      </c>
      <c r="K253" t="s">
        <v>143</v>
      </c>
      <c r="L253" s="4">
        <v>46144</v>
      </c>
      <c r="M253" s="4">
        <v>46164</v>
      </c>
      <c r="N253" s="4">
        <v>46154</v>
      </c>
      <c r="O253" t="s">
        <v>32</v>
      </c>
      <c r="P253" s="5">
        <v>1</v>
      </c>
      <c r="Q253" s="6">
        <v>41500</v>
      </c>
      <c r="R253" s="6">
        <v>42357.25</v>
      </c>
      <c r="S253">
        <v>1</v>
      </c>
      <c r="T253">
        <f t="shared" si="6"/>
        <v>0</v>
      </c>
      <c r="U253">
        <f>IF(COUNTIFS($B$2:B253,B253,$F$2:F253,F253)=1,1,0)</f>
        <v>0</v>
      </c>
      <c r="V253" s="13">
        <f t="shared" si="7"/>
        <v>-857.25</v>
      </c>
    </row>
    <row r="254" spans="1:22">
      <c r="A254" t="s">
        <v>457</v>
      </c>
      <c r="B254" t="s">
        <v>107</v>
      </c>
      <c r="C254" t="s">
        <v>108</v>
      </c>
      <c r="D254" t="s">
        <v>73</v>
      </c>
      <c r="E254" t="s">
        <v>74</v>
      </c>
      <c r="F254" t="s">
        <v>26</v>
      </c>
      <c r="G254" t="s">
        <v>95</v>
      </c>
      <c r="H254" t="s">
        <v>443</v>
      </c>
      <c r="I254" t="s">
        <v>69</v>
      </c>
      <c r="J254" t="s">
        <v>30</v>
      </c>
      <c r="K254" t="s">
        <v>178</v>
      </c>
      <c r="L254" s="4">
        <v>46079</v>
      </c>
      <c r="M254" s="4">
        <v>46101</v>
      </c>
      <c r="N254" s="4">
        <v>46113</v>
      </c>
      <c r="O254" t="s">
        <v>32</v>
      </c>
      <c r="P254" s="5">
        <v>1</v>
      </c>
      <c r="Q254" s="6">
        <v>30100</v>
      </c>
      <c r="R254" s="6">
        <v>33586.58</v>
      </c>
      <c r="S254">
        <v>0</v>
      </c>
      <c r="T254">
        <f t="shared" si="6"/>
        <v>12</v>
      </c>
      <c r="U254">
        <f>IF(COUNTIFS($B$2:B254,B254,$F$2:F254,F254)=1,1,0)</f>
        <v>0</v>
      </c>
      <c r="V254" s="13">
        <f t="shared" si="7"/>
        <v>-3486.5800000000017</v>
      </c>
    </row>
    <row r="255" spans="1:22">
      <c r="A255" t="s">
        <v>458</v>
      </c>
      <c r="B255" t="s">
        <v>111</v>
      </c>
      <c r="C255" t="s">
        <v>112</v>
      </c>
      <c r="D255" t="s">
        <v>82</v>
      </c>
      <c r="E255" t="s">
        <v>83</v>
      </c>
      <c r="F255" t="s">
        <v>38</v>
      </c>
      <c r="G255" t="s">
        <v>27</v>
      </c>
      <c r="H255" t="s">
        <v>445</v>
      </c>
      <c r="I255" t="s">
        <v>30</v>
      </c>
      <c r="J255" t="s">
        <v>69</v>
      </c>
      <c r="K255" t="s">
        <v>78</v>
      </c>
      <c r="L255" s="4">
        <v>45809</v>
      </c>
      <c r="M255" s="4">
        <v>45836</v>
      </c>
      <c r="N255" s="4"/>
      <c r="O255" t="s">
        <v>52</v>
      </c>
      <c r="P255" s="5">
        <v>0.9</v>
      </c>
      <c r="Q255" s="6">
        <v>20200</v>
      </c>
      <c r="R255" s="6">
        <v>24147.599999999999</v>
      </c>
      <c r="S255">
        <v>4</v>
      </c>
      <c r="T255" t="str">
        <f t="shared" si="6"/>
        <v/>
      </c>
      <c r="U255">
        <f>IF(COUNTIFS($B$2:B255,B255,$F$2:F255,F255)=1,1,0)</f>
        <v>0</v>
      </c>
      <c r="V255" s="13">
        <f t="shared" si="7"/>
        <v>-3947.5999999999985</v>
      </c>
    </row>
    <row r="256" spans="1:22">
      <c r="A256" t="s">
        <v>459</v>
      </c>
      <c r="B256" t="s">
        <v>114</v>
      </c>
      <c r="C256" t="s">
        <v>115</v>
      </c>
      <c r="D256" t="s">
        <v>24</v>
      </c>
      <c r="E256" t="s">
        <v>25</v>
      </c>
      <c r="F256" t="s">
        <v>48</v>
      </c>
      <c r="G256" t="s">
        <v>39</v>
      </c>
      <c r="H256" t="s">
        <v>447</v>
      </c>
      <c r="I256" t="s">
        <v>29</v>
      </c>
      <c r="J256" t="s">
        <v>30</v>
      </c>
      <c r="K256" t="s">
        <v>51</v>
      </c>
      <c r="L256" s="4">
        <v>46112</v>
      </c>
      <c r="M256" s="4">
        <v>46122</v>
      </c>
      <c r="N256" s="4"/>
      <c r="O256" t="s">
        <v>52</v>
      </c>
      <c r="P256" s="5">
        <v>0.6</v>
      </c>
      <c r="Q256" s="6">
        <v>21600</v>
      </c>
      <c r="R256" s="6">
        <v>22153.759999999998</v>
      </c>
      <c r="S256">
        <v>0</v>
      </c>
      <c r="T256" t="str">
        <f t="shared" si="6"/>
        <v/>
      </c>
      <c r="U256">
        <f>IF(COUNTIFS($B$2:B256,B256,$F$2:F256,F256)=1,1,0)</f>
        <v>0</v>
      </c>
      <c r="V256" s="13">
        <f t="shared" si="7"/>
        <v>-553.7599999999984</v>
      </c>
    </row>
    <row r="257" spans="1:22">
      <c r="A257" t="s">
        <v>460</v>
      </c>
      <c r="B257" t="s">
        <v>117</v>
      </c>
      <c r="C257" t="s">
        <v>118</v>
      </c>
      <c r="D257" t="s">
        <v>36</v>
      </c>
      <c r="E257" t="s">
        <v>37</v>
      </c>
      <c r="F257" t="s">
        <v>58</v>
      </c>
      <c r="G257" t="s">
        <v>49</v>
      </c>
      <c r="H257" t="s">
        <v>449</v>
      </c>
      <c r="I257" t="s">
        <v>29</v>
      </c>
      <c r="J257" t="s">
        <v>69</v>
      </c>
      <c r="K257" t="s">
        <v>143</v>
      </c>
      <c r="L257" s="4">
        <v>45954</v>
      </c>
      <c r="M257" s="4">
        <v>45970</v>
      </c>
      <c r="N257" s="4">
        <v>45962</v>
      </c>
      <c r="O257" t="s">
        <v>32</v>
      </c>
      <c r="P257" s="5">
        <v>1</v>
      </c>
      <c r="Q257" s="6">
        <v>5200</v>
      </c>
      <c r="R257" s="6">
        <v>6016.72</v>
      </c>
      <c r="S257">
        <v>1</v>
      </c>
      <c r="T257">
        <f t="shared" si="6"/>
        <v>0</v>
      </c>
      <c r="U257">
        <f>IF(COUNTIFS($B$2:B257,B257,$F$2:F257,F257)=1,1,0)</f>
        <v>0</v>
      </c>
      <c r="V257" s="13">
        <f t="shared" si="7"/>
        <v>-816.72000000000025</v>
      </c>
    </row>
    <row r="258" spans="1:22">
      <c r="A258" t="s">
        <v>461</v>
      </c>
      <c r="B258" t="s">
        <v>120</v>
      </c>
      <c r="C258" t="s">
        <v>121</v>
      </c>
      <c r="D258" t="s">
        <v>46</v>
      </c>
      <c r="E258" t="s">
        <v>47</v>
      </c>
      <c r="F258" t="s">
        <v>66</v>
      </c>
      <c r="G258" t="s">
        <v>59</v>
      </c>
      <c r="H258" t="s">
        <v>451</v>
      </c>
      <c r="I258" t="s">
        <v>29</v>
      </c>
      <c r="J258" t="s">
        <v>30</v>
      </c>
      <c r="K258" t="s">
        <v>78</v>
      </c>
      <c r="L258" s="4">
        <v>45812</v>
      </c>
      <c r="M258" s="4">
        <v>45830</v>
      </c>
      <c r="N258" s="4"/>
      <c r="O258" t="s">
        <v>52</v>
      </c>
      <c r="P258" s="5">
        <v>0.25</v>
      </c>
      <c r="Q258" s="6">
        <v>20600</v>
      </c>
      <c r="R258" s="6">
        <v>20360.02</v>
      </c>
      <c r="S258">
        <v>0</v>
      </c>
      <c r="T258" t="str">
        <f t="shared" ref="T258:T321" si="8">IF(N258="","",MAX(0,N258-M258))</f>
        <v/>
      </c>
      <c r="U258">
        <f>IF(COUNTIFS($B$2:B258,B258,$F$2:F258,F258)=1,1,0)</f>
        <v>0</v>
      </c>
      <c r="V258" s="13">
        <f t="shared" ref="V258:V321" si="9">Q258-R258</f>
        <v>239.97999999999956</v>
      </c>
    </row>
    <row r="259" spans="1:22">
      <c r="A259" t="s">
        <v>462</v>
      </c>
      <c r="B259" t="s">
        <v>123</v>
      </c>
      <c r="C259" t="s">
        <v>124</v>
      </c>
      <c r="D259" t="s">
        <v>56</v>
      </c>
      <c r="E259" t="s">
        <v>57</v>
      </c>
      <c r="F259" t="s">
        <v>75</v>
      </c>
      <c r="G259" t="s">
        <v>67</v>
      </c>
      <c r="H259" t="s">
        <v>453</v>
      </c>
      <c r="I259" t="s">
        <v>29</v>
      </c>
      <c r="J259" t="s">
        <v>29</v>
      </c>
      <c r="K259" t="s">
        <v>31</v>
      </c>
      <c r="L259" s="4">
        <v>45765</v>
      </c>
      <c r="M259" s="4">
        <v>45788</v>
      </c>
      <c r="N259" s="4"/>
      <c r="O259" t="s">
        <v>42</v>
      </c>
      <c r="P259" s="5">
        <v>0</v>
      </c>
      <c r="Q259" s="6">
        <v>36300</v>
      </c>
      <c r="R259" s="6">
        <v>0</v>
      </c>
      <c r="S259">
        <v>1</v>
      </c>
      <c r="T259" t="str">
        <f t="shared" si="8"/>
        <v/>
      </c>
      <c r="U259">
        <f>IF(COUNTIFS($B$2:B259,B259,$F$2:F259,F259)=1,1,0)</f>
        <v>0</v>
      </c>
      <c r="V259" s="13">
        <f t="shared" si="9"/>
        <v>36300</v>
      </c>
    </row>
    <row r="260" spans="1:22">
      <c r="A260" t="s">
        <v>463</v>
      </c>
      <c r="B260" t="s">
        <v>126</v>
      </c>
      <c r="C260" t="s">
        <v>127</v>
      </c>
      <c r="D260" t="s">
        <v>64</v>
      </c>
      <c r="E260" t="s">
        <v>65</v>
      </c>
      <c r="F260" t="s">
        <v>26</v>
      </c>
      <c r="G260" t="s">
        <v>76</v>
      </c>
      <c r="H260" t="s">
        <v>437</v>
      </c>
      <c r="I260" t="s">
        <v>29</v>
      </c>
      <c r="J260" t="s">
        <v>29</v>
      </c>
      <c r="K260" t="s">
        <v>31</v>
      </c>
      <c r="L260" s="4">
        <v>45819</v>
      </c>
      <c r="M260" s="4">
        <v>45836</v>
      </c>
      <c r="N260" s="4"/>
      <c r="O260" t="s">
        <v>52</v>
      </c>
      <c r="P260" s="5">
        <v>0.6</v>
      </c>
      <c r="Q260" s="6">
        <v>28900</v>
      </c>
      <c r="R260" s="6">
        <v>31288.44</v>
      </c>
      <c r="S260">
        <v>3</v>
      </c>
      <c r="T260" t="str">
        <f t="shared" si="8"/>
        <v/>
      </c>
      <c r="U260">
        <f>IF(COUNTIFS($B$2:B260,B260,$F$2:F260,F260)=1,1,0)</f>
        <v>0</v>
      </c>
      <c r="V260" s="13">
        <f t="shared" si="9"/>
        <v>-2388.4399999999987</v>
      </c>
    </row>
    <row r="261" spans="1:22">
      <c r="A261" t="s">
        <v>464</v>
      </c>
      <c r="B261" t="s">
        <v>129</v>
      </c>
      <c r="C261" t="s">
        <v>130</v>
      </c>
      <c r="D261" t="s">
        <v>73</v>
      </c>
      <c r="E261" t="s">
        <v>74</v>
      </c>
      <c r="F261" t="s">
        <v>38</v>
      </c>
      <c r="G261" t="s">
        <v>84</v>
      </c>
      <c r="H261" t="s">
        <v>439</v>
      </c>
      <c r="I261" t="s">
        <v>29</v>
      </c>
      <c r="J261" t="s">
        <v>29</v>
      </c>
      <c r="K261" t="s">
        <v>41</v>
      </c>
      <c r="L261" s="4">
        <v>45889</v>
      </c>
      <c r="M261" s="4">
        <v>45910</v>
      </c>
      <c r="N261" s="4"/>
      <c r="O261" t="s">
        <v>52</v>
      </c>
      <c r="P261" s="5">
        <v>0.25</v>
      </c>
      <c r="Q261" s="6">
        <v>32200</v>
      </c>
      <c r="R261" s="6">
        <v>34466.949999999997</v>
      </c>
      <c r="S261">
        <v>4</v>
      </c>
      <c r="T261" t="str">
        <f t="shared" si="8"/>
        <v/>
      </c>
      <c r="U261">
        <f>IF(COUNTIFS($B$2:B261,B261,$F$2:F261,F261)=1,1,0)</f>
        <v>0</v>
      </c>
      <c r="V261" s="13">
        <f t="shared" si="9"/>
        <v>-2266.9499999999971</v>
      </c>
    </row>
    <row r="262" spans="1:22">
      <c r="A262" t="s">
        <v>465</v>
      </c>
      <c r="B262" t="s">
        <v>132</v>
      </c>
      <c r="C262" t="s">
        <v>133</v>
      </c>
      <c r="D262" t="s">
        <v>82</v>
      </c>
      <c r="E262" t="s">
        <v>83</v>
      </c>
      <c r="F262" t="s">
        <v>48</v>
      </c>
      <c r="G262" t="s">
        <v>90</v>
      </c>
      <c r="H262" t="s">
        <v>441</v>
      </c>
      <c r="I262" t="s">
        <v>69</v>
      </c>
      <c r="J262" t="s">
        <v>30</v>
      </c>
      <c r="K262" t="s">
        <v>31</v>
      </c>
      <c r="L262" s="4">
        <v>45919</v>
      </c>
      <c r="M262" s="4">
        <v>45927</v>
      </c>
      <c r="N262" s="4"/>
      <c r="O262" t="s">
        <v>52</v>
      </c>
      <c r="P262" s="5">
        <v>0.4</v>
      </c>
      <c r="Q262" s="6">
        <v>21400</v>
      </c>
      <c r="R262" s="6">
        <v>21464.3</v>
      </c>
      <c r="S262">
        <v>4</v>
      </c>
      <c r="T262" t="str">
        <f t="shared" si="8"/>
        <v/>
      </c>
      <c r="U262">
        <f>IF(COUNTIFS($B$2:B262,B262,$F$2:F262,F262)=1,1,0)</f>
        <v>0</v>
      </c>
      <c r="V262" s="13">
        <f t="shared" si="9"/>
        <v>-64.299999999999272</v>
      </c>
    </row>
    <row r="263" spans="1:22">
      <c r="A263" t="s">
        <v>466</v>
      </c>
      <c r="B263" t="s">
        <v>135</v>
      </c>
      <c r="C263" t="s">
        <v>136</v>
      </c>
      <c r="D263" t="s">
        <v>24</v>
      </c>
      <c r="E263" t="s">
        <v>25</v>
      </c>
      <c r="F263" t="s">
        <v>58</v>
      </c>
      <c r="G263" t="s">
        <v>95</v>
      </c>
      <c r="H263" t="s">
        <v>443</v>
      </c>
      <c r="I263" t="s">
        <v>29</v>
      </c>
      <c r="J263" t="s">
        <v>29</v>
      </c>
      <c r="K263" t="s">
        <v>51</v>
      </c>
      <c r="L263" s="4">
        <v>46021</v>
      </c>
      <c r="M263" s="4">
        <v>46042</v>
      </c>
      <c r="N263" s="4"/>
      <c r="O263" t="s">
        <v>42</v>
      </c>
      <c r="P263" s="5">
        <v>0</v>
      </c>
      <c r="Q263" s="6">
        <v>16800</v>
      </c>
      <c r="R263" s="6">
        <v>0</v>
      </c>
      <c r="S263">
        <v>2</v>
      </c>
      <c r="T263" t="str">
        <f t="shared" si="8"/>
        <v/>
      </c>
      <c r="U263">
        <f>IF(COUNTIFS($B$2:B263,B263,$F$2:F263,F263)=1,1,0)</f>
        <v>0</v>
      </c>
      <c r="V263" s="13">
        <f t="shared" si="9"/>
        <v>16800</v>
      </c>
    </row>
    <row r="264" spans="1:22">
      <c r="A264" t="s">
        <v>467</v>
      </c>
      <c r="B264" t="s">
        <v>138</v>
      </c>
      <c r="C264" t="s">
        <v>139</v>
      </c>
      <c r="D264" t="s">
        <v>36</v>
      </c>
      <c r="E264" t="s">
        <v>37</v>
      </c>
      <c r="F264" t="s">
        <v>66</v>
      </c>
      <c r="G264" t="s">
        <v>27</v>
      </c>
      <c r="H264" t="s">
        <v>445</v>
      </c>
      <c r="I264" t="s">
        <v>69</v>
      </c>
      <c r="J264" t="s">
        <v>29</v>
      </c>
      <c r="K264" t="s">
        <v>178</v>
      </c>
      <c r="L264" s="4">
        <v>45992</v>
      </c>
      <c r="M264" s="4">
        <v>46016</v>
      </c>
      <c r="N264" s="4"/>
      <c r="O264" t="s">
        <v>42</v>
      </c>
      <c r="P264" s="5">
        <v>0</v>
      </c>
      <c r="Q264" s="6">
        <v>6600</v>
      </c>
      <c r="R264" s="6">
        <v>0</v>
      </c>
      <c r="S264">
        <v>2</v>
      </c>
      <c r="T264" t="str">
        <f t="shared" si="8"/>
        <v/>
      </c>
      <c r="U264">
        <f>IF(COUNTIFS($B$2:B264,B264,$F$2:F264,F264)=1,1,0)</f>
        <v>0</v>
      </c>
      <c r="V264" s="13">
        <f t="shared" si="9"/>
        <v>6600</v>
      </c>
    </row>
    <row r="265" spans="1:22">
      <c r="A265" t="s">
        <v>468</v>
      </c>
      <c r="B265" t="s">
        <v>141</v>
      </c>
      <c r="C265" t="s">
        <v>142</v>
      </c>
      <c r="D265" t="s">
        <v>46</v>
      </c>
      <c r="E265" t="s">
        <v>47</v>
      </c>
      <c r="F265" t="s">
        <v>75</v>
      </c>
      <c r="G265" t="s">
        <v>39</v>
      </c>
      <c r="H265" t="s">
        <v>447</v>
      </c>
      <c r="I265" t="s">
        <v>69</v>
      </c>
      <c r="J265" t="s">
        <v>30</v>
      </c>
      <c r="K265" t="s">
        <v>31</v>
      </c>
      <c r="L265" s="4">
        <v>45711</v>
      </c>
      <c r="M265" s="4">
        <v>45732</v>
      </c>
      <c r="N265" s="4"/>
      <c r="O265" t="s">
        <v>52</v>
      </c>
      <c r="P265" s="5">
        <v>0.4</v>
      </c>
      <c r="Q265" s="6">
        <v>22700</v>
      </c>
      <c r="R265" s="6">
        <v>17707.240000000002</v>
      </c>
      <c r="S265">
        <v>1</v>
      </c>
      <c r="T265" t="str">
        <f t="shared" si="8"/>
        <v/>
      </c>
      <c r="U265">
        <f>IF(COUNTIFS($B$2:B265,B265,$F$2:F265,F265)=1,1,0)</f>
        <v>0</v>
      </c>
      <c r="V265" s="13">
        <f t="shared" si="9"/>
        <v>4992.7599999999984</v>
      </c>
    </row>
    <row r="266" spans="1:22">
      <c r="A266" t="s">
        <v>469</v>
      </c>
      <c r="B266" t="s">
        <v>145</v>
      </c>
      <c r="C266" t="s">
        <v>146</v>
      </c>
      <c r="D266" t="s">
        <v>56</v>
      </c>
      <c r="E266" t="s">
        <v>57</v>
      </c>
      <c r="F266" t="s">
        <v>26</v>
      </c>
      <c r="G266" t="s">
        <v>49</v>
      </c>
      <c r="H266" t="s">
        <v>449</v>
      </c>
      <c r="I266" t="s">
        <v>86</v>
      </c>
      <c r="J266" t="s">
        <v>30</v>
      </c>
      <c r="K266" t="s">
        <v>31</v>
      </c>
      <c r="L266" s="4">
        <v>46023</v>
      </c>
      <c r="M266" s="4">
        <v>46030</v>
      </c>
      <c r="N266" s="4"/>
      <c r="O266" t="s">
        <v>52</v>
      </c>
      <c r="P266" s="5">
        <v>0.9</v>
      </c>
      <c r="Q266" s="6">
        <v>21100</v>
      </c>
      <c r="R266" s="6">
        <v>23588.080000000002</v>
      </c>
      <c r="S266">
        <v>2</v>
      </c>
      <c r="T266" t="str">
        <f t="shared" si="8"/>
        <v/>
      </c>
      <c r="U266">
        <f>IF(COUNTIFS($B$2:B266,B266,$F$2:F266,F266)=1,1,0)</f>
        <v>0</v>
      </c>
      <c r="V266" s="13">
        <f t="shared" si="9"/>
        <v>-2488.0800000000017</v>
      </c>
    </row>
    <row r="267" spans="1:22">
      <c r="A267" t="s">
        <v>470</v>
      </c>
      <c r="B267" t="s">
        <v>148</v>
      </c>
      <c r="C267" t="s">
        <v>149</v>
      </c>
      <c r="D267" t="s">
        <v>64</v>
      </c>
      <c r="E267" t="s">
        <v>65</v>
      </c>
      <c r="F267" t="s">
        <v>38</v>
      </c>
      <c r="G267" t="s">
        <v>59</v>
      </c>
      <c r="H267" t="s">
        <v>451</v>
      </c>
      <c r="I267" t="s">
        <v>30</v>
      </c>
      <c r="J267" t="s">
        <v>30</v>
      </c>
      <c r="K267" t="s">
        <v>41</v>
      </c>
      <c r="L267" s="4">
        <v>45907</v>
      </c>
      <c r="M267" s="4">
        <v>45926</v>
      </c>
      <c r="N267" s="4">
        <v>45921</v>
      </c>
      <c r="O267" t="s">
        <v>32</v>
      </c>
      <c r="P267" s="5">
        <v>1</v>
      </c>
      <c r="Q267" s="6">
        <v>32400</v>
      </c>
      <c r="R267" s="6">
        <v>35288.71</v>
      </c>
      <c r="S267">
        <v>0</v>
      </c>
      <c r="T267">
        <f t="shared" si="8"/>
        <v>0</v>
      </c>
      <c r="U267">
        <f>IF(COUNTIFS($B$2:B267,B267,$F$2:F267,F267)=1,1,0)</f>
        <v>0</v>
      </c>
      <c r="V267" s="13">
        <f t="shared" si="9"/>
        <v>-2888.7099999999991</v>
      </c>
    </row>
    <row r="268" spans="1:22">
      <c r="A268" t="s">
        <v>471</v>
      </c>
      <c r="B268" t="s">
        <v>151</v>
      </c>
      <c r="C268" t="s">
        <v>152</v>
      </c>
      <c r="D268" t="s">
        <v>73</v>
      </c>
      <c r="E268" t="s">
        <v>74</v>
      </c>
      <c r="F268" t="s">
        <v>48</v>
      </c>
      <c r="G268" t="s">
        <v>67</v>
      </c>
      <c r="H268" t="s">
        <v>453</v>
      </c>
      <c r="I268" t="s">
        <v>29</v>
      </c>
      <c r="J268" t="s">
        <v>29</v>
      </c>
      <c r="K268" t="s">
        <v>31</v>
      </c>
      <c r="L268" s="4">
        <v>46037</v>
      </c>
      <c r="M268" s="4">
        <v>46048</v>
      </c>
      <c r="N268" s="4"/>
      <c r="O268" t="s">
        <v>52</v>
      </c>
      <c r="P268" s="5">
        <v>0.5</v>
      </c>
      <c r="Q268" s="6">
        <v>8800</v>
      </c>
      <c r="R268" s="6">
        <v>9178.36</v>
      </c>
      <c r="S268">
        <v>0</v>
      </c>
      <c r="T268" t="str">
        <f t="shared" si="8"/>
        <v/>
      </c>
      <c r="U268">
        <f>IF(COUNTIFS($B$2:B268,B268,$F$2:F268,F268)=1,1,0)</f>
        <v>0</v>
      </c>
      <c r="V268" s="13">
        <f t="shared" si="9"/>
        <v>-378.36000000000058</v>
      </c>
    </row>
    <row r="269" spans="1:22">
      <c r="A269" t="s">
        <v>472</v>
      </c>
      <c r="B269" t="s">
        <v>154</v>
      </c>
      <c r="C269" t="s">
        <v>155</v>
      </c>
      <c r="D269" t="s">
        <v>82</v>
      </c>
      <c r="E269" t="s">
        <v>83</v>
      </c>
      <c r="F269" t="s">
        <v>58</v>
      </c>
      <c r="G269" t="s">
        <v>76</v>
      </c>
      <c r="H269" t="s">
        <v>437</v>
      </c>
      <c r="I269" t="s">
        <v>69</v>
      </c>
      <c r="J269" t="s">
        <v>29</v>
      </c>
      <c r="K269" t="s">
        <v>31</v>
      </c>
      <c r="L269" s="4">
        <v>46024</v>
      </c>
      <c r="M269" s="4">
        <v>46035</v>
      </c>
      <c r="N269" s="4">
        <v>46040</v>
      </c>
      <c r="O269" t="s">
        <v>32</v>
      </c>
      <c r="P269" s="5">
        <v>1</v>
      </c>
      <c r="Q269" s="6">
        <v>37300</v>
      </c>
      <c r="R269" s="6">
        <v>32933.1</v>
      </c>
      <c r="S269">
        <v>3</v>
      </c>
      <c r="T269">
        <f t="shared" si="8"/>
        <v>5</v>
      </c>
      <c r="U269">
        <f>IF(COUNTIFS($B$2:B269,B269,$F$2:F269,F269)=1,1,0)</f>
        <v>0</v>
      </c>
      <c r="V269" s="13">
        <f t="shared" si="9"/>
        <v>4366.9000000000015</v>
      </c>
    </row>
    <row r="270" spans="1:22">
      <c r="A270" t="s">
        <v>473</v>
      </c>
      <c r="B270" t="s">
        <v>157</v>
      </c>
      <c r="C270" t="s">
        <v>158</v>
      </c>
      <c r="D270" t="s">
        <v>24</v>
      </c>
      <c r="E270" t="s">
        <v>25</v>
      </c>
      <c r="F270" t="s">
        <v>66</v>
      </c>
      <c r="G270" t="s">
        <v>84</v>
      </c>
      <c r="H270" t="s">
        <v>439</v>
      </c>
      <c r="I270" t="s">
        <v>30</v>
      </c>
      <c r="J270" t="s">
        <v>29</v>
      </c>
      <c r="K270" t="s">
        <v>143</v>
      </c>
      <c r="L270" s="4">
        <v>46130</v>
      </c>
      <c r="M270" s="4">
        <v>46136</v>
      </c>
      <c r="N270" s="4">
        <v>46135</v>
      </c>
      <c r="O270" t="s">
        <v>32</v>
      </c>
      <c r="P270" s="5">
        <v>1</v>
      </c>
      <c r="Q270" s="6">
        <v>39600</v>
      </c>
      <c r="R270" s="6">
        <v>37690.36</v>
      </c>
      <c r="S270">
        <v>3</v>
      </c>
      <c r="T270">
        <f t="shared" si="8"/>
        <v>0</v>
      </c>
      <c r="U270">
        <f>IF(COUNTIFS($B$2:B270,B270,$F$2:F270,F270)=1,1,0)</f>
        <v>0</v>
      </c>
      <c r="V270" s="13">
        <f t="shared" si="9"/>
        <v>1909.6399999999994</v>
      </c>
    </row>
    <row r="271" spans="1:22">
      <c r="A271" t="s">
        <v>474</v>
      </c>
      <c r="B271" t="s">
        <v>160</v>
      </c>
      <c r="C271" t="s">
        <v>161</v>
      </c>
      <c r="D271" t="s">
        <v>36</v>
      </c>
      <c r="E271" t="s">
        <v>37</v>
      </c>
      <c r="F271" t="s">
        <v>75</v>
      </c>
      <c r="G271" t="s">
        <v>95</v>
      </c>
      <c r="H271" t="s">
        <v>443</v>
      </c>
      <c r="I271" t="s">
        <v>69</v>
      </c>
      <c r="J271" t="s">
        <v>30</v>
      </c>
      <c r="K271" t="s">
        <v>41</v>
      </c>
      <c r="L271" s="4">
        <v>45972</v>
      </c>
      <c r="M271" s="4">
        <v>45999</v>
      </c>
      <c r="N271" s="4">
        <v>46002</v>
      </c>
      <c r="O271" t="s">
        <v>32</v>
      </c>
      <c r="P271" s="5">
        <v>1</v>
      </c>
      <c r="Q271" s="6">
        <v>10600</v>
      </c>
      <c r="R271" s="6">
        <v>10673.42</v>
      </c>
      <c r="S271">
        <v>0</v>
      </c>
      <c r="T271">
        <f t="shared" si="8"/>
        <v>3</v>
      </c>
      <c r="U271">
        <f>IF(COUNTIFS($B$2:B271,B271,$F$2:F271,F271)=1,1,0)</f>
        <v>0</v>
      </c>
      <c r="V271" s="13">
        <f t="shared" si="9"/>
        <v>-73.420000000000073</v>
      </c>
    </row>
    <row r="272" spans="1:22">
      <c r="A272" t="s">
        <v>475</v>
      </c>
      <c r="B272" t="s">
        <v>22</v>
      </c>
      <c r="C272" t="s">
        <v>23</v>
      </c>
      <c r="D272" t="s">
        <v>24</v>
      </c>
      <c r="E272" t="s">
        <v>25</v>
      </c>
      <c r="F272" t="s">
        <v>26</v>
      </c>
      <c r="G272" t="s">
        <v>27</v>
      </c>
      <c r="H272" t="s">
        <v>476</v>
      </c>
      <c r="I272" t="s">
        <v>69</v>
      </c>
      <c r="J272" t="s">
        <v>29</v>
      </c>
      <c r="K272" t="s">
        <v>31</v>
      </c>
      <c r="L272" s="4">
        <v>46025</v>
      </c>
      <c r="M272" s="4">
        <v>46053</v>
      </c>
      <c r="N272" s="4"/>
      <c r="O272" t="s">
        <v>32</v>
      </c>
      <c r="P272" s="5">
        <v>0.4</v>
      </c>
      <c r="Q272" s="6">
        <v>36500</v>
      </c>
      <c r="R272" s="6">
        <v>32752.400000000001</v>
      </c>
      <c r="S272">
        <v>1</v>
      </c>
      <c r="T272" t="str">
        <f t="shared" si="8"/>
        <v/>
      </c>
      <c r="U272">
        <f>IF(COUNTIFS($B$2:B272,B272,$F$2:F272,F272)=1,1,0)</f>
        <v>0</v>
      </c>
      <c r="V272" s="13">
        <f t="shared" si="9"/>
        <v>3747.5999999999985</v>
      </c>
    </row>
    <row r="273" spans="1:22">
      <c r="A273" t="s">
        <v>477</v>
      </c>
      <c r="B273" t="s">
        <v>34</v>
      </c>
      <c r="C273" t="s">
        <v>35</v>
      </c>
      <c r="D273" t="s">
        <v>36</v>
      </c>
      <c r="E273" t="s">
        <v>37</v>
      </c>
      <c r="F273" t="s">
        <v>38</v>
      </c>
      <c r="G273" t="s">
        <v>39</v>
      </c>
      <c r="H273" t="s">
        <v>478</v>
      </c>
      <c r="I273" t="s">
        <v>69</v>
      </c>
      <c r="J273" t="s">
        <v>30</v>
      </c>
      <c r="K273" t="s">
        <v>178</v>
      </c>
      <c r="L273" s="4">
        <v>45794</v>
      </c>
      <c r="M273" s="4">
        <v>45806</v>
      </c>
      <c r="N273" s="4">
        <v>45816</v>
      </c>
      <c r="O273" t="s">
        <v>32</v>
      </c>
      <c r="P273" s="5">
        <v>1</v>
      </c>
      <c r="Q273" s="6">
        <v>40700</v>
      </c>
      <c r="R273" s="6">
        <v>39928.35</v>
      </c>
      <c r="S273">
        <v>1</v>
      </c>
      <c r="T273">
        <f t="shared" si="8"/>
        <v>10</v>
      </c>
      <c r="U273">
        <f>IF(COUNTIFS($B$2:B273,B273,$F$2:F273,F273)=1,1,0)</f>
        <v>0</v>
      </c>
      <c r="V273" s="13">
        <f t="shared" si="9"/>
        <v>771.65000000000146</v>
      </c>
    </row>
    <row r="274" spans="1:22">
      <c r="A274" t="s">
        <v>479</v>
      </c>
      <c r="B274" t="s">
        <v>44</v>
      </c>
      <c r="C274" t="s">
        <v>45</v>
      </c>
      <c r="D274" t="s">
        <v>46</v>
      </c>
      <c r="E274" t="s">
        <v>47</v>
      </c>
      <c r="F274" t="s">
        <v>48</v>
      </c>
      <c r="G274" t="s">
        <v>49</v>
      </c>
      <c r="H274" t="s">
        <v>480</v>
      </c>
      <c r="I274" t="s">
        <v>69</v>
      </c>
      <c r="J274" t="s">
        <v>30</v>
      </c>
      <c r="K274" t="s">
        <v>31</v>
      </c>
      <c r="L274" s="4">
        <v>45745</v>
      </c>
      <c r="M274" s="4">
        <v>45775</v>
      </c>
      <c r="N274" s="4">
        <v>45774</v>
      </c>
      <c r="O274" t="s">
        <v>32</v>
      </c>
      <c r="P274" s="5">
        <v>1</v>
      </c>
      <c r="Q274" s="6">
        <v>32000</v>
      </c>
      <c r="R274" s="6">
        <v>33970.410000000003</v>
      </c>
      <c r="S274">
        <v>2</v>
      </c>
      <c r="T274">
        <f t="shared" si="8"/>
        <v>0</v>
      </c>
      <c r="U274">
        <f>IF(COUNTIFS($B$2:B274,B274,$F$2:F274,F274)=1,1,0)</f>
        <v>0</v>
      </c>
      <c r="V274" s="13">
        <f t="shared" si="9"/>
        <v>-1970.4100000000035</v>
      </c>
    </row>
    <row r="275" spans="1:22">
      <c r="A275" t="s">
        <v>481</v>
      </c>
      <c r="B275" t="s">
        <v>54</v>
      </c>
      <c r="C275" t="s">
        <v>55</v>
      </c>
      <c r="D275" t="s">
        <v>56</v>
      </c>
      <c r="E275" t="s">
        <v>57</v>
      </c>
      <c r="F275" t="s">
        <v>58</v>
      </c>
      <c r="G275" t="s">
        <v>59</v>
      </c>
      <c r="H275" t="s">
        <v>482</v>
      </c>
      <c r="I275" t="s">
        <v>29</v>
      </c>
      <c r="J275" t="s">
        <v>30</v>
      </c>
      <c r="K275" t="s">
        <v>41</v>
      </c>
      <c r="L275" s="4">
        <v>46142</v>
      </c>
      <c r="M275" s="4">
        <v>46160</v>
      </c>
      <c r="N275" s="4"/>
      <c r="O275" t="s">
        <v>32</v>
      </c>
      <c r="P275" s="5">
        <v>0</v>
      </c>
      <c r="Q275" s="6">
        <v>29000</v>
      </c>
      <c r="R275" s="6">
        <v>0</v>
      </c>
      <c r="S275">
        <v>0</v>
      </c>
      <c r="T275" t="str">
        <f t="shared" si="8"/>
        <v/>
      </c>
      <c r="U275">
        <f>IF(COUNTIFS($B$2:B275,B275,$F$2:F275,F275)=1,1,0)</f>
        <v>0</v>
      </c>
      <c r="V275" s="13">
        <f t="shared" si="9"/>
        <v>29000</v>
      </c>
    </row>
    <row r="276" spans="1:22">
      <c r="A276" t="s">
        <v>483</v>
      </c>
      <c r="B276" t="s">
        <v>62</v>
      </c>
      <c r="C276" t="s">
        <v>63</v>
      </c>
      <c r="D276" t="s">
        <v>64</v>
      </c>
      <c r="E276" t="s">
        <v>65</v>
      </c>
      <c r="F276" t="s">
        <v>66</v>
      </c>
      <c r="G276" t="s">
        <v>67</v>
      </c>
      <c r="H276" t="s">
        <v>484</v>
      </c>
      <c r="I276" t="s">
        <v>30</v>
      </c>
      <c r="J276" t="s">
        <v>29</v>
      </c>
      <c r="K276" t="s">
        <v>78</v>
      </c>
      <c r="L276" s="4">
        <v>45906</v>
      </c>
      <c r="M276" s="4">
        <v>45925</v>
      </c>
      <c r="N276" s="4">
        <v>45922</v>
      </c>
      <c r="O276" t="s">
        <v>32</v>
      </c>
      <c r="P276" s="5">
        <v>1</v>
      </c>
      <c r="Q276" s="6">
        <v>21300</v>
      </c>
      <c r="R276" s="6">
        <v>17213.169999999998</v>
      </c>
      <c r="S276">
        <v>0</v>
      </c>
      <c r="T276">
        <f t="shared" si="8"/>
        <v>0</v>
      </c>
      <c r="U276">
        <f>IF(COUNTIFS($B$2:B276,B276,$F$2:F276,F276)=1,1,0)</f>
        <v>0</v>
      </c>
      <c r="V276" s="13">
        <f t="shared" si="9"/>
        <v>4086.8300000000017</v>
      </c>
    </row>
    <row r="277" spans="1:22">
      <c r="A277" t="s">
        <v>485</v>
      </c>
      <c r="B277" t="s">
        <v>71</v>
      </c>
      <c r="C277" t="s">
        <v>72</v>
      </c>
      <c r="D277" t="s">
        <v>73</v>
      </c>
      <c r="E277" t="s">
        <v>74</v>
      </c>
      <c r="F277" t="s">
        <v>75</v>
      </c>
      <c r="G277" t="s">
        <v>76</v>
      </c>
      <c r="H277" t="s">
        <v>486</v>
      </c>
      <c r="I277" t="s">
        <v>69</v>
      </c>
      <c r="J277" t="s">
        <v>29</v>
      </c>
      <c r="K277" t="s">
        <v>31</v>
      </c>
      <c r="L277" s="4">
        <v>45905</v>
      </c>
      <c r="M277" s="4">
        <v>45928</v>
      </c>
      <c r="N277" s="4">
        <v>45931</v>
      </c>
      <c r="O277" t="s">
        <v>32</v>
      </c>
      <c r="P277" s="5">
        <v>1</v>
      </c>
      <c r="Q277" s="6">
        <v>17100</v>
      </c>
      <c r="R277" s="6">
        <v>19586.16</v>
      </c>
      <c r="S277">
        <v>2</v>
      </c>
      <c r="T277">
        <f t="shared" si="8"/>
        <v>3</v>
      </c>
      <c r="U277">
        <f>IF(COUNTIFS($B$2:B277,B277,$F$2:F277,F277)=1,1,0)</f>
        <v>0</v>
      </c>
      <c r="V277" s="13">
        <f t="shared" si="9"/>
        <v>-2486.16</v>
      </c>
    </row>
    <row r="278" spans="1:22">
      <c r="A278" t="s">
        <v>487</v>
      </c>
      <c r="B278" t="s">
        <v>80</v>
      </c>
      <c r="C278" t="s">
        <v>81</v>
      </c>
      <c r="D278" t="s">
        <v>82</v>
      </c>
      <c r="E278" t="s">
        <v>83</v>
      </c>
      <c r="F278" t="s">
        <v>26</v>
      </c>
      <c r="G278" t="s">
        <v>84</v>
      </c>
      <c r="H278" t="s">
        <v>488</v>
      </c>
      <c r="I278" t="s">
        <v>29</v>
      </c>
      <c r="J278" t="s">
        <v>30</v>
      </c>
      <c r="K278" t="s">
        <v>31</v>
      </c>
      <c r="L278" s="4">
        <v>45845</v>
      </c>
      <c r="M278" s="4">
        <v>45858</v>
      </c>
      <c r="N278" s="4">
        <v>45855</v>
      </c>
      <c r="O278" t="s">
        <v>32</v>
      </c>
      <c r="P278" s="5">
        <v>1</v>
      </c>
      <c r="Q278" s="6">
        <v>26100</v>
      </c>
      <c r="R278" s="6">
        <v>29834.1</v>
      </c>
      <c r="S278">
        <v>0</v>
      </c>
      <c r="T278">
        <f t="shared" si="8"/>
        <v>0</v>
      </c>
      <c r="U278">
        <f>IF(COUNTIFS($B$2:B278,B278,$F$2:F278,F278)=1,1,0)</f>
        <v>0</v>
      </c>
      <c r="V278" s="13">
        <f t="shared" si="9"/>
        <v>-3734.0999999999985</v>
      </c>
    </row>
    <row r="279" spans="1:22">
      <c r="A279" t="s">
        <v>489</v>
      </c>
      <c r="B279" t="s">
        <v>88</v>
      </c>
      <c r="C279" t="s">
        <v>89</v>
      </c>
      <c r="D279" t="s">
        <v>24</v>
      </c>
      <c r="E279" t="s">
        <v>25</v>
      </c>
      <c r="F279" t="s">
        <v>38</v>
      </c>
      <c r="G279" t="s">
        <v>90</v>
      </c>
      <c r="H279" t="s">
        <v>490</v>
      </c>
      <c r="I279" t="s">
        <v>69</v>
      </c>
      <c r="J279" t="s">
        <v>30</v>
      </c>
      <c r="K279" t="s">
        <v>31</v>
      </c>
      <c r="L279" s="4">
        <v>45851</v>
      </c>
      <c r="M279" s="4">
        <v>45854</v>
      </c>
      <c r="N279" s="4"/>
      <c r="O279" t="s">
        <v>32</v>
      </c>
      <c r="P279" s="5">
        <v>0</v>
      </c>
      <c r="Q279" s="6">
        <v>38800</v>
      </c>
      <c r="R279" s="6">
        <v>0</v>
      </c>
      <c r="S279">
        <v>1</v>
      </c>
      <c r="T279" t="str">
        <f t="shared" si="8"/>
        <v/>
      </c>
      <c r="U279">
        <f>IF(COUNTIFS($B$2:B279,B279,$F$2:F279,F279)=1,1,0)</f>
        <v>0</v>
      </c>
      <c r="V279" s="13">
        <f t="shared" si="9"/>
        <v>38800</v>
      </c>
    </row>
    <row r="280" spans="1:22">
      <c r="A280" t="s">
        <v>491</v>
      </c>
      <c r="B280" t="s">
        <v>93</v>
      </c>
      <c r="C280" t="s">
        <v>94</v>
      </c>
      <c r="D280" t="s">
        <v>36</v>
      </c>
      <c r="E280" t="s">
        <v>37</v>
      </c>
      <c r="F280" t="s">
        <v>48</v>
      </c>
      <c r="G280" t="s">
        <v>95</v>
      </c>
      <c r="H280" t="s">
        <v>492</v>
      </c>
      <c r="I280" t="s">
        <v>86</v>
      </c>
      <c r="J280" t="s">
        <v>30</v>
      </c>
      <c r="K280" t="s">
        <v>78</v>
      </c>
      <c r="L280" s="4">
        <v>46073</v>
      </c>
      <c r="M280" s="4">
        <v>46096</v>
      </c>
      <c r="N280" s="4"/>
      <c r="O280" t="s">
        <v>52</v>
      </c>
      <c r="P280" s="5">
        <v>0.9</v>
      </c>
      <c r="Q280" s="6">
        <v>42100</v>
      </c>
      <c r="R280" s="6">
        <v>43003.41</v>
      </c>
      <c r="S280">
        <v>1</v>
      </c>
      <c r="T280" t="str">
        <f t="shared" si="8"/>
        <v/>
      </c>
      <c r="U280">
        <f>IF(COUNTIFS($B$2:B280,B280,$F$2:F280,F280)=1,1,0)</f>
        <v>0</v>
      </c>
      <c r="V280" s="13">
        <f t="shared" si="9"/>
        <v>-903.41000000000349</v>
      </c>
    </row>
    <row r="281" spans="1:22">
      <c r="A281" t="s">
        <v>493</v>
      </c>
      <c r="B281" t="s">
        <v>98</v>
      </c>
      <c r="C281" t="s">
        <v>99</v>
      </c>
      <c r="D281" t="s">
        <v>46</v>
      </c>
      <c r="E281" t="s">
        <v>47</v>
      </c>
      <c r="F281" t="s">
        <v>58</v>
      </c>
      <c r="G281" t="s">
        <v>27</v>
      </c>
      <c r="H281" t="s">
        <v>476</v>
      </c>
      <c r="I281" t="s">
        <v>29</v>
      </c>
      <c r="J281" t="s">
        <v>30</v>
      </c>
      <c r="K281" t="s">
        <v>178</v>
      </c>
      <c r="L281" s="4">
        <v>45757</v>
      </c>
      <c r="M281" s="4">
        <v>45761</v>
      </c>
      <c r="N281" s="4"/>
      <c r="O281" t="s">
        <v>52</v>
      </c>
      <c r="P281" s="5">
        <v>0.5</v>
      </c>
      <c r="Q281" s="6">
        <v>33100</v>
      </c>
      <c r="R281" s="6">
        <v>39010.57</v>
      </c>
      <c r="S281">
        <v>1</v>
      </c>
      <c r="T281" t="str">
        <f t="shared" si="8"/>
        <v/>
      </c>
      <c r="U281">
        <f>IF(COUNTIFS($B$2:B281,B281,$F$2:F281,F281)=1,1,0)</f>
        <v>0</v>
      </c>
      <c r="V281" s="13">
        <f t="shared" si="9"/>
        <v>-5910.57</v>
      </c>
    </row>
    <row r="282" spans="1:22">
      <c r="A282" t="s">
        <v>494</v>
      </c>
      <c r="B282" t="s">
        <v>101</v>
      </c>
      <c r="C282" t="s">
        <v>102</v>
      </c>
      <c r="D282" t="s">
        <v>56</v>
      </c>
      <c r="E282" t="s">
        <v>57</v>
      </c>
      <c r="F282" t="s">
        <v>66</v>
      </c>
      <c r="G282" t="s">
        <v>39</v>
      </c>
      <c r="H282" t="s">
        <v>478</v>
      </c>
      <c r="I282" t="s">
        <v>30</v>
      </c>
      <c r="J282" t="s">
        <v>30</v>
      </c>
      <c r="K282" t="s">
        <v>31</v>
      </c>
      <c r="L282" s="4">
        <v>46028</v>
      </c>
      <c r="M282" s="4">
        <v>46035</v>
      </c>
      <c r="N282" s="4">
        <v>46030</v>
      </c>
      <c r="O282" t="s">
        <v>32</v>
      </c>
      <c r="P282" s="5">
        <v>1</v>
      </c>
      <c r="Q282" s="6">
        <v>24100</v>
      </c>
      <c r="R282" s="6">
        <v>24264.58</v>
      </c>
      <c r="S282">
        <v>1</v>
      </c>
      <c r="T282">
        <f t="shared" si="8"/>
        <v>0</v>
      </c>
      <c r="U282">
        <f>IF(COUNTIFS($B$2:B282,B282,$F$2:F282,F282)=1,1,0)</f>
        <v>0</v>
      </c>
      <c r="V282" s="13">
        <f t="shared" si="9"/>
        <v>-164.58000000000175</v>
      </c>
    </row>
    <row r="283" spans="1:22">
      <c r="A283" t="s">
        <v>495</v>
      </c>
      <c r="B283" t="s">
        <v>104</v>
      </c>
      <c r="C283" t="s">
        <v>105</v>
      </c>
      <c r="D283" t="s">
        <v>64</v>
      </c>
      <c r="E283" t="s">
        <v>65</v>
      </c>
      <c r="F283" t="s">
        <v>75</v>
      </c>
      <c r="G283" t="s">
        <v>49</v>
      </c>
      <c r="H283" t="s">
        <v>480</v>
      </c>
      <c r="I283" t="s">
        <v>29</v>
      </c>
      <c r="J283" t="s">
        <v>30</v>
      </c>
      <c r="K283" t="s">
        <v>41</v>
      </c>
      <c r="L283" s="4">
        <v>46075</v>
      </c>
      <c r="M283" s="4">
        <v>46093</v>
      </c>
      <c r="N283" s="4"/>
      <c r="O283" t="s">
        <v>42</v>
      </c>
      <c r="P283" s="5">
        <v>0</v>
      </c>
      <c r="Q283" s="6">
        <v>18200</v>
      </c>
      <c r="R283" s="6">
        <v>0</v>
      </c>
      <c r="S283">
        <v>1</v>
      </c>
      <c r="T283" t="str">
        <f t="shared" si="8"/>
        <v/>
      </c>
      <c r="U283">
        <f>IF(COUNTIFS($B$2:B283,B283,$F$2:F283,F283)=1,1,0)</f>
        <v>0</v>
      </c>
      <c r="V283" s="13">
        <f t="shared" si="9"/>
        <v>18200</v>
      </c>
    </row>
    <row r="284" spans="1:22">
      <c r="A284" t="s">
        <v>496</v>
      </c>
      <c r="B284" t="s">
        <v>107</v>
      </c>
      <c r="C284" t="s">
        <v>108</v>
      </c>
      <c r="D284" t="s">
        <v>73</v>
      </c>
      <c r="E284" t="s">
        <v>74</v>
      </c>
      <c r="F284" t="s">
        <v>26</v>
      </c>
      <c r="G284" t="s">
        <v>59</v>
      </c>
      <c r="H284" t="s">
        <v>482</v>
      </c>
      <c r="I284" t="s">
        <v>29</v>
      </c>
      <c r="J284" t="s">
        <v>69</v>
      </c>
      <c r="K284" t="s">
        <v>31</v>
      </c>
      <c r="L284" s="4">
        <v>45976</v>
      </c>
      <c r="M284" s="4">
        <v>45999</v>
      </c>
      <c r="N284" s="4"/>
      <c r="O284" t="s">
        <v>109</v>
      </c>
      <c r="P284" s="5">
        <v>0.2</v>
      </c>
      <c r="Q284" s="6">
        <v>4500</v>
      </c>
      <c r="R284" s="6">
        <v>4188.45</v>
      </c>
      <c r="S284">
        <v>2</v>
      </c>
      <c r="T284" t="str">
        <f t="shared" si="8"/>
        <v/>
      </c>
      <c r="U284">
        <f>IF(COUNTIFS($B$2:B284,B284,$F$2:F284,F284)=1,1,0)</f>
        <v>0</v>
      </c>
      <c r="V284" s="13">
        <f t="shared" si="9"/>
        <v>311.55000000000018</v>
      </c>
    </row>
    <row r="285" spans="1:22">
      <c r="A285" t="s">
        <v>497</v>
      </c>
      <c r="B285" t="s">
        <v>111</v>
      </c>
      <c r="C285" t="s">
        <v>112</v>
      </c>
      <c r="D285" t="s">
        <v>82</v>
      </c>
      <c r="E285" t="s">
        <v>83</v>
      </c>
      <c r="F285" t="s">
        <v>38</v>
      </c>
      <c r="G285" t="s">
        <v>67</v>
      </c>
      <c r="H285" t="s">
        <v>484</v>
      </c>
      <c r="I285" t="s">
        <v>29</v>
      </c>
      <c r="J285" t="s">
        <v>30</v>
      </c>
      <c r="K285" t="s">
        <v>31</v>
      </c>
      <c r="L285" s="4">
        <v>45745</v>
      </c>
      <c r="M285" s="4">
        <v>45761</v>
      </c>
      <c r="N285" s="4">
        <v>45758</v>
      </c>
      <c r="O285" t="s">
        <v>32</v>
      </c>
      <c r="P285" s="5">
        <v>1</v>
      </c>
      <c r="Q285" s="6">
        <v>40500</v>
      </c>
      <c r="R285" s="6">
        <v>42414.29</v>
      </c>
      <c r="S285">
        <v>2</v>
      </c>
      <c r="T285">
        <f t="shared" si="8"/>
        <v>0</v>
      </c>
      <c r="U285">
        <f>IF(COUNTIFS($B$2:B285,B285,$F$2:F285,F285)=1,1,0)</f>
        <v>0</v>
      </c>
      <c r="V285" s="13">
        <f t="shared" si="9"/>
        <v>-1914.2900000000009</v>
      </c>
    </row>
    <row r="286" spans="1:22">
      <c r="A286" t="s">
        <v>498</v>
      </c>
      <c r="B286" t="s">
        <v>114</v>
      </c>
      <c r="C286" t="s">
        <v>115</v>
      </c>
      <c r="D286" t="s">
        <v>24</v>
      </c>
      <c r="E286" t="s">
        <v>25</v>
      </c>
      <c r="F286" t="s">
        <v>48</v>
      </c>
      <c r="G286" t="s">
        <v>76</v>
      </c>
      <c r="H286" t="s">
        <v>486</v>
      </c>
      <c r="I286" t="s">
        <v>69</v>
      </c>
      <c r="J286" t="s">
        <v>30</v>
      </c>
      <c r="K286" t="s">
        <v>31</v>
      </c>
      <c r="L286" s="4">
        <v>46000</v>
      </c>
      <c r="M286" s="4">
        <v>46010</v>
      </c>
      <c r="N286" s="4"/>
      <c r="O286" t="s">
        <v>52</v>
      </c>
      <c r="P286" s="5">
        <v>0.25</v>
      </c>
      <c r="Q286" s="6">
        <v>12300</v>
      </c>
      <c r="R286" s="6">
        <v>13080.52</v>
      </c>
      <c r="S286">
        <v>0</v>
      </c>
      <c r="T286" t="str">
        <f t="shared" si="8"/>
        <v/>
      </c>
      <c r="U286">
        <f>IF(COUNTIFS($B$2:B286,B286,$F$2:F286,F286)=1,1,0)</f>
        <v>0</v>
      </c>
      <c r="V286" s="13">
        <f t="shared" si="9"/>
        <v>-780.52000000000044</v>
      </c>
    </row>
    <row r="287" spans="1:22">
      <c r="A287" t="s">
        <v>499</v>
      </c>
      <c r="B287" t="s">
        <v>117</v>
      </c>
      <c r="C287" t="s">
        <v>118</v>
      </c>
      <c r="D287" t="s">
        <v>36</v>
      </c>
      <c r="E287" t="s">
        <v>37</v>
      </c>
      <c r="F287" t="s">
        <v>58</v>
      </c>
      <c r="G287" t="s">
        <v>84</v>
      </c>
      <c r="H287" t="s">
        <v>488</v>
      </c>
      <c r="I287" t="s">
        <v>29</v>
      </c>
      <c r="J287" t="s">
        <v>69</v>
      </c>
      <c r="K287" t="s">
        <v>31</v>
      </c>
      <c r="L287" s="4">
        <v>45956</v>
      </c>
      <c r="M287" s="4">
        <v>45965</v>
      </c>
      <c r="N287" s="4">
        <v>45960</v>
      </c>
      <c r="O287" t="s">
        <v>32</v>
      </c>
      <c r="P287" s="5">
        <v>1</v>
      </c>
      <c r="Q287" s="6">
        <v>23700</v>
      </c>
      <c r="R287" s="6">
        <v>25329.43</v>
      </c>
      <c r="S287">
        <v>2</v>
      </c>
      <c r="T287">
        <f t="shared" si="8"/>
        <v>0</v>
      </c>
      <c r="U287">
        <f>IF(COUNTIFS($B$2:B287,B287,$F$2:F287,F287)=1,1,0)</f>
        <v>0</v>
      </c>
      <c r="V287" s="13">
        <f t="shared" si="9"/>
        <v>-1629.4300000000003</v>
      </c>
    </row>
    <row r="288" spans="1:22">
      <c r="A288" t="s">
        <v>500</v>
      </c>
      <c r="B288" t="s">
        <v>120</v>
      </c>
      <c r="C288" t="s">
        <v>121</v>
      </c>
      <c r="D288" t="s">
        <v>46</v>
      </c>
      <c r="E288" t="s">
        <v>47</v>
      </c>
      <c r="F288" t="s">
        <v>66</v>
      </c>
      <c r="G288" t="s">
        <v>90</v>
      </c>
      <c r="H288" t="s">
        <v>490</v>
      </c>
      <c r="I288" t="s">
        <v>30</v>
      </c>
      <c r="J288" t="s">
        <v>69</v>
      </c>
      <c r="K288" t="s">
        <v>178</v>
      </c>
      <c r="L288" s="4">
        <v>45805</v>
      </c>
      <c r="M288" s="4">
        <v>45820</v>
      </c>
      <c r="N288" s="4"/>
      <c r="O288" t="s">
        <v>42</v>
      </c>
      <c r="P288" s="5">
        <v>0</v>
      </c>
      <c r="Q288" s="6">
        <v>23200</v>
      </c>
      <c r="R288" s="6">
        <v>0</v>
      </c>
      <c r="S288">
        <v>2</v>
      </c>
      <c r="T288" t="str">
        <f t="shared" si="8"/>
        <v/>
      </c>
      <c r="U288">
        <f>IF(COUNTIFS($B$2:B288,B288,$F$2:F288,F288)=1,1,0)</f>
        <v>0</v>
      </c>
      <c r="V288" s="13">
        <f t="shared" si="9"/>
        <v>23200</v>
      </c>
    </row>
    <row r="289" spans="1:22">
      <c r="A289" t="s">
        <v>501</v>
      </c>
      <c r="B289" t="s">
        <v>123</v>
      </c>
      <c r="C289" t="s">
        <v>124</v>
      </c>
      <c r="D289" t="s">
        <v>56</v>
      </c>
      <c r="E289" t="s">
        <v>57</v>
      </c>
      <c r="F289" t="s">
        <v>75</v>
      </c>
      <c r="G289" t="s">
        <v>95</v>
      </c>
      <c r="H289" t="s">
        <v>492</v>
      </c>
      <c r="I289" t="s">
        <v>86</v>
      </c>
      <c r="J289" t="s">
        <v>69</v>
      </c>
      <c r="K289" t="s">
        <v>178</v>
      </c>
      <c r="L289" s="4">
        <v>45711</v>
      </c>
      <c r="M289" s="4">
        <v>45726</v>
      </c>
      <c r="N289" s="4">
        <v>45722</v>
      </c>
      <c r="O289" t="s">
        <v>32</v>
      </c>
      <c r="P289" s="5">
        <v>1</v>
      </c>
      <c r="Q289" s="6">
        <v>31200</v>
      </c>
      <c r="R289" s="6">
        <v>32020.58</v>
      </c>
      <c r="S289">
        <v>3</v>
      </c>
      <c r="T289">
        <f t="shared" si="8"/>
        <v>0</v>
      </c>
      <c r="U289">
        <f>IF(COUNTIFS($B$2:B289,B289,$F$2:F289,F289)=1,1,0)</f>
        <v>0</v>
      </c>
      <c r="V289" s="13">
        <f t="shared" si="9"/>
        <v>-820.58000000000175</v>
      </c>
    </row>
    <row r="290" spans="1:22">
      <c r="A290" t="s">
        <v>502</v>
      </c>
      <c r="B290" t="s">
        <v>126</v>
      </c>
      <c r="C290" t="s">
        <v>127</v>
      </c>
      <c r="D290" t="s">
        <v>64</v>
      </c>
      <c r="E290" t="s">
        <v>65</v>
      </c>
      <c r="F290" t="s">
        <v>26</v>
      </c>
      <c r="G290" t="s">
        <v>27</v>
      </c>
      <c r="H290" t="s">
        <v>476</v>
      </c>
      <c r="I290" t="s">
        <v>69</v>
      </c>
      <c r="J290" t="s">
        <v>30</v>
      </c>
      <c r="K290" t="s">
        <v>31</v>
      </c>
      <c r="L290" s="4">
        <v>45777</v>
      </c>
      <c r="M290" s="4">
        <v>45786</v>
      </c>
      <c r="N290" s="4"/>
      <c r="O290" t="s">
        <v>42</v>
      </c>
      <c r="P290" s="5">
        <v>0</v>
      </c>
      <c r="Q290" s="6">
        <v>4100</v>
      </c>
      <c r="R290" s="6">
        <v>0</v>
      </c>
      <c r="S290">
        <v>2</v>
      </c>
      <c r="T290" t="str">
        <f t="shared" si="8"/>
        <v/>
      </c>
      <c r="U290">
        <f>IF(COUNTIFS($B$2:B290,B290,$F$2:F290,F290)=1,1,0)</f>
        <v>0</v>
      </c>
      <c r="V290" s="13">
        <f t="shared" si="9"/>
        <v>4100</v>
      </c>
    </row>
    <row r="291" spans="1:22">
      <c r="A291" t="s">
        <v>503</v>
      </c>
      <c r="B291" t="s">
        <v>129</v>
      </c>
      <c r="C291" t="s">
        <v>130</v>
      </c>
      <c r="D291" t="s">
        <v>73</v>
      </c>
      <c r="E291" t="s">
        <v>74</v>
      </c>
      <c r="F291" t="s">
        <v>38</v>
      </c>
      <c r="G291" t="s">
        <v>39</v>
      </c>
      <c r="H291" t="s">
        <v>478</v>
      </c>
      <c r="I291" t="s">
        <v>69</v>
      </c>
      <c r="J291" t="s">
        <v>30</v>
      </c>
      <c r="K291" t="s">
        <v>31</v>
      </c>
      <c r="L291" s="4">
        <v>45876</v>
      </c>
      <c r="M291" s="4">
        <v>45881</v>
      </c>
      <c r="N291" s="4">
        <v>45875</v>
      </c>
      <c r="O291" t="s">
        <v>32</v>
      </c>
      <c r="P291" s="5">
        <v>1</v>
      </c>
      <c r="Q291" s="6">
        <v>24900</v>
      </c>
      <c r="R291" s="6">
        <v>26055.03</v>
      </c>
      <c r="S291">
        <v>2</v>
      </c>
      <c r="T291">
        <f t="shared" si="8"/>
        <v>0</v>
      </c>
      <c r="U291">
        <f>IF(COUNTIFS($B$2:B291,B291,$F$2:F291,F291)=1,1,0)</f>
        <v>0</v>
      </c>
      <c r="V291" s="13">
        <f t="shared" si="9"/>
        <v>-1155.0299999999988</v>
      </c>
    </row>
    <row r="292" spans="1:22">
      <c r="A292" t="s">
        <v>504</v>
      </c>
      <c r="B292" t="s">
        <v>132</v>
      </c>
      <c r="C292" t="s">
        <v>133</v>
      </c>
      <c r="D292" t="s">
        <v>82</v>
      </c>
      <c r="E292" t="s">
        <v>83</v>
      </c>
      <c r="F292" t="s">
        <v>48</v>
      </c>
      <c r="G292" t="s">
        <v>49</v>
      </c>
      <c r="H292" t="s">
        <v>480</v>
      </c>
      <c r="I292" t="s">
        <v>30</v>
      </c>
      <c r="J292" t="s">
        <v>69</v>
      </c>
      <c r="K292" t="s">
        <v>178</v>
      </c>
      <c r="L292" s="4">
        <v>45821</v>
      </c>
      <c r="M292" s="4">
        <v>45841</v>
      </c>
      <c r="N292" s="4"/>
      <c r="O292" t="s">
        <v>52</v>
      </c>
      <c r="P292" s="5">
        <v>0.75</v>
      </c>
      <c r="Q292" s="6">
        <v>29100</v>
      </c>
      <c r="R292" s="6">
        <v>33587.949999999997</v>
      </c>
      <c r="S292">
        <v>1</v>
      </c>
      <c r="T292" t="str">
        <f t="shared" si="8"/>
        <v/>
      </c>
      <c r="U292">
        <f>IF(COUNTIFS($B$2:B292,B292,$F$2:F292,F292)=1,1,0)</f>
        <v>0</v>
      </c>
      <c r="V292" s="13">
        <f t="shared" si="9"/>
        <v>-4487.9499999999971</v>
      </c>
    </row>
    <row r="293" spans="1:22">
      <c r="A293" t="s">
        <v>505</v>
      </c>
      <c r="B293" t="s">
        <v>135</v>
      </c>
      <c r="C293" t="s">
        <v>136</v>
      </c>
      <c r="D293" t="s">
        <v>24</v>
      </c>
      <c r="E293" t="s">
        <v>25</v>
      </c>
      <c r="F293" t="s">
        <v>58</v>
      </c>
      <c r="G293" t="s">
        <v>59</v>
      </c>
      <c r="H293" t="s">
        <v>482</v>
      </c>
      <c r="I293" t="s">
        <v>30</v>
      </c>
      <c r="J293" t="s">
        <v>29</v>
      </c>
      <c r="K293" t="s">
        <v>78</v>
      </c>
      <c r="L293" s="4">
        <v>45982</v>
      </c>
      <c r="M293" s="4">
        <v>45986</v>
      </c>
      <c r="N293" s="4"/>
      <c r="O293" t="s">
        <v>52</v>
      </c>
      <c r="P293" s="5">
        <v>0.6</v>
      </c>
      <c r="Q293" s="6">
        <v>6500</v>
      </c>
      <c r="R293" s="6">
        <v>6446.87</v>
      </c>
      <c r="S293">
        <v>1</v>
      </c>
      <c r="T293" t="str">
        <f t="shared" si="8"/>
        <v/>
      </c>
      <c r="U293">
        <f>IF(COUNTIFS($B$2:B293,B293,$F$2:F293,F293)=1,1,0)</f>
        <v>0</v>
      </c>
      <c r="V293" s="13">
        <f t="shared" si="9"/>
        <v>53.130000000000109</v>
      </c>
    </row>
    <row r="294" spans="1:22">
      <c r="A294" t="s">
        <v>506</v>
      </c>
      <c r="B294" t="s">
        <v>138</v>
      </c>
      <c r="C294" t="s">
        <v>139</v>
      </c>
      <c r="D294" t="s">
        <v>36</v>
      </c>
      <c r="E294" t="s">
        <v>37</v>
      </c>
      <c r="F294" t="s">
        <v>66</v>
      </c>
      <c r="G294" t="s">
        <v>67</v>
      </c>
      <c r="H294" t="s">
        <v>484</v>
      </c>
      <c r="I294" t="s">
        <v>69</v>
      </c>
      <c r="J294" t="s">
        <v>29</v>
      </c>
      <c r="K294" t="s">
        <v>31</v>
      </c>
      <c r="L294" s="4">
        <v>45974</v>
      </c>
      <c r="M294" s="4">
        <v>45999</v>
      </c>
      <c r="N294" s="4"/>
      <c r="O294" t="s">
        <v>42</v>
      </c>
      <c r="P294" s="5">
        <v>0</v>
      </c>
      <c r="Q294" s="6">
        <v>2000</v>
      </c>
      <c r="R294" s="6">
        <v>0</v>
      </c>
      <c r="S294">
        <v>2</v>
      </c>
      <c r="T294" t="str">
        <f t="shared" si="8"/>
        <v/>
      </c>
      <c r="U294">
        <f>IF(COUNTIFS($B$2:B294,B294,$F$2:F294,F294)=1,1,0)</f>
        <v>0</v>
      </c>
      <c r="V294" s="13">
        <f t="shared" si="9"/>
        <v>2000</v>
      </c>
    </row>
    <row r="295" spans="1:22">
      <c r="A295" t="s">
        <v>507</v>
      </c>
      <c r="B295" t="s">
        <v>141</v>
      </c>
      <c r="C295" t="s">
        <v>142</v>
      </c>
      <c r="D295" t="s">
        <v>46</v>
      </c>
      <c r="E295" t="s">
        <v>47</v>
      </c>
      <c r="F295" t="s">
        <v>75</v>
      </c>
      <c r="G295" t="s">
        <v>76</v>
      </c>
      <c r="H295" t="s">
        <v>486</v>
      </c>
      <c r="I295" t="s">
        <v>29</v>
      </c>
      <c r="J295" t="s">
        <v>29</v>
      </c>
      <c r="K295" t="s">
        <v>31</v>
      </c>
      <c r="L295" s="4">
        <v>45771</v>
      </c>
      <c r="M295" s="4">
        <v>45778</v>
      </c>
      <c r="N295" s="4">
        <v>45788</v>
      </c>
      <c r="O295" t="s">
        <v>32</v>
      </c>
      <c r="P295" s="5">
        <v>1</v>
      </c>
      <c r="Q295" s="6">
        <v>6600</v>
      </c>
      <c r="R295" s="6">
        <v>5889.77</v>
      </c>
      <c r="S295">
        <v>3</v>
      </c>
      <c r="T295">
        <f t="shared" si="8"/>
        <v>10</v>
      </c>
      <c r="U295">
        <f>IF(COUNTIFS($B$2:B295,B295,$F$2:F295,F295)=1,1,0)</f>
        <v>0</v>
      </c>
      <c r="V295" s="13">
        <f t="shared" si="9"/>
        <v>710.22999999999956</v>
      </c>
    </row>
    <row r="296" spans="1:22">
      <c r="A296" t="s">
        <v>508</v>
      </c>
      <c r="B296" t="s">
        <v>145</v>
      </c>
      <c r="C296" t="s">
        <v>146</v>
      </c>
      <c r="D296" t="s">
        <v>56</v>
      </c>
      <c r="E296" t="s">
        <v>57</v>
      </c>
      <c r="F296" t="s">
        <v>26</v>
      </c>
      <c r="G296" t="s">
        <v>84</v>
      </c>
      <c r="H296" t="s">
        <v>488</v>
      </c>
      <c r="I296" t="s">
        <v>29</v>
      </c>
      <c r="J296" t="s">
        <v>29</v>
      </c>
      <c r="K296" t="s">
        <v>31</v>
      </c>
      <c r="L296" s="4">
        <v>46097</v>
      </c>
      <c r="M296" s="4">
        <v>46120</v>
      </c>
      <c r="N296" s="4"/>
      <c r="O296" t="s">
        <v>42</v>
      </c>
      <c r="P296" s="5">
        <v>0</v>
      </c>
      <c r="Q296" s="6">
        <v>21300</v>
      </c>
      <c r="R296" s="6">
        <v>0</v>
      </c>
      <c r="S296">
        <v>1</v>
      </c>
      <c r="T296" t="str">
        <f t="shared" si="8"/>
        <v/>
      </c>
      <c r="U296">
        <f>IF(COUNTIFS($B$2:B296,B296,$F$2:F296,F296)=1,1,0)</f>
        <v>0</v>
      </c>
      <c r="V296" s="13">
        <f t="shared" si="9"/>
        <v>21300</v>
      </c>
    </row>
    <row r="297" spans="1:22">
      <c r="A297" t="s">
        <v>509</v>
      </c>
      <c r="B297" t="s">
        <v>148</v>
      </c>
      <c r="C297" t="s">
        <v>149</v>
      </c>
      <c r="D297" t="s">
        <v>64</v>
      </c>
      <c r="E297" t="s">
        <v>65</v>
      </c>
      <c r="F297" t="s">
        <v>38</v>
      </c>
      <c r="G297" t="s">
        <v>90</v>
      </c>
      <c r="H297" t="s">
        <v>490</v>
      </c>
      <c r="I297" t="s">
        <v>29</v>
      </c>
      <c r="J297" t="s">
        <v>30</v>
      </c>
      <c r="K297" t="s">
        <v>31</v>
      </c>
      <c r="L297" s="4">
        <v>45790</v>
      </c>
      <c r="M297" s="4">
        <v>45811</v>
      </c>
      <c r="N297" s="4">
        <v>45819</v>
      </c>
      <c r="O297" t="s">
        <v>32</v>
      </c>
      <c r="P297" s="5">
        <v>1</v>
      </c>
      <c r="Q297" s="6">
        <v>6500</v>
      </c>
      <c r="R297" s="6">
        <v>6627.03</v>
      </c>
      <c r="S297">
        <v>1</v>
      </c>
      <c r="T297">
        <f t="shared" si="8"/>
        <v>8</v>
      </c>
      <c r="U297">
        <f>IF(COUNTIFS($B$2:B297,B297,$F$2:F297,F297)=1,1,0)</f>
        <v>0</v>
      </c>
      <c r="V297" s="13">
        <f t="shared" si="9"/>
        <v>-127.02999999999975</v>
      </c>
    </row>
    <row r="298" spans="1:22">
      <c r="A298" t="s">
        <v>510</v>
      </c>
      <c r="B298" t="s">
        <v>151</v>
      </c>
      <c r="C298" t="s">
        <v>152</v>
      </c>
      <c r="D298" t="s">
        <v>73</v>
      </c>
      <c r="E298" t="s">
        <v>74</v>
      </c>
      <c r="F298" t="s">
        <v>48</v>
      </c>
      <c r="G298" t="s">
        <v>95</v>
      </c>
      <c r="H298" t="s">
        <v>492</v>
      </c>
      <c r="I298" t="s">
        <v>69</v>
      </c>
      <c r="J298" t="s">
        <v>30</v>
      </c>
      <c r="K298" t="s">
        <v>31</v>
      </c>
      <c r="L298" s="4">
        <v>46122</v>
      </c>
      <c r="M298" s="4">
        <v>46137</v>
      </c>
      <c r="N298" s="4">
        <v>46147</v>
      </c>
      <c r="O298" t="s">
        <v>32</v>
      </c>
      <c r="P298" s="5">
        <v>1</v>
      </c>
      <c r="Q298" s="6">
        <v>3000</v>
      </c>
      <c r="R298" s="6">
        <v>3816.28</v>
      </c>
      <c r="S298">
        <v>2</v>
      </c>
      <c r="T298">
        <f t="shared" si="8"/>
        <v>10</v>
      </c>
      <c r="U298">
        <f>IF(COUNTIFS($B$2:B298,B298,$F$2:F298,F298)=1,1,0)</f>
        <v>0</v>
      </c>
      <c r="V298" s="13">
        <f t="shared" si="9"/>
        <v>-816.2800000000002</v>
      </c>
    </row>
    <row r="299" spans="1:22">
      <c r="A299" t="s">
        <v>511</v>
      </c>
      <c r="B299" t="s">
        <v>154</v>
      </c>
      <c r="C299" t="s">
        <v>155</v>
      </c>
      <c r="D299" t="s">
        <v>82</v>
      </c>
      <c r="E299" t="s">
        <v>83</v>
      </c>
      <c r="F299" t="s">
        <v>58</v>
      </c>
      <c r="G299" t="s">
        <v>27</v>
      </c>
      <c r="H299" t="s">
        <v>476</v>
      </c>
      <c r="I299" t="s">
        <v>69</v>
      </c>
      <c r="J299" t="s">
        <v>30</v>
      </c>
      <c r="K299" t="s">
        <v>31</v>
      </c>
      <c r="L299" s="4">
        <v>46076</v>
      </c>
      <c r="M299" s="4">
        <v>46087</v>
      </c>
      <c r="N299" s="4">
        <v>46079</v>
      </c>
      <c r="O299" t="s">
        <v>32</v>
      </c>
      <c r="P299" s="5">
        <v>1</v>
      </c>
      <c r="Q299" s="6">
        <v>26400</v>
      </c>
      <c r="R299" s="6">
        <v>30105.78</v>
      </c>
      <c r="S299">
        <v>3</v>
      </c>
      <c r="T299">
        <f t="shared" si="8"/>
        <v>0</v>
      </c>
      <c r="U299">
        <f>IF(COUNTIFS($B$2:B299,B299,$F$2:F299,F299)=1,1,0)</f>
        <v>0</v>
      </c>
      <c r="V299" s="13">
        <f t="shared" si="9"/>
        <v>-3705.7799999999988</v>
      </c>
    </row>
    <row r="300" spans="1:22">
      <c r="A300" t="s">
        <v>512</v>
      </c>
      <c r="B300" t="s">
        <v>157</v>
      </c>
      <c r="C300" t="s">
        <v>158</v>
      </c>
      <c r="D300" t="s">
        <v>24</v>
      </c>
      <c r="E300" t="s">
        <v>25</v>
      </c>
      <c r="F300" t="s">
        <v>66</v>
      </c>
      <c r="G300" t="s">
        <v>39</v>
      </c>
      <c r="H300" t="s">
        <v>478</v>
      </c>
      <c r="I300" t="s">
        <v>30</v>
      </c>
      <c r="J300" t="s">
        <v>30</v>
      </c>
      <c r="K300" t="s">
        <v>143</v>
      </c>
      <c r="L300" s="4">
        <v>46033</v>
      </c>
      <c r="M300" s="4">
        <v>46048</v>
      </c>
      <c r="N300" s="4"/>
      <c r="O300" t="s">
        <v>42</v>
      </c>
      <c r="P300" s="5">
        <v>0</v>
      </c>
      <c r="Q300" s="6">
        <v>21700</v>
      </c>
      <c r="R300" s="6">
        <v>0</v>
      </c>
      <c r="S300">
        <v>4</v>
      </c>
      <c r="T300" t="str">
        <f t="shared" si="8"/>
        <v/>
      </c>
      <c r="U300">
        <f>IF(COUNTIFS($B$2:B300,B300,$F$2:F300,F300)=1,1,0)</f>
        <v>0</v>
      </c>
      <c r="V300" s="13">
        <f t="shared" si="9"/>
        <v>21700</v>
      </c>
    </row>
    <row r="301" spans="1:22">
      <c r="A301" t="s">
        <v>513</v>
      </c>
      <c r="B301" t="s">
        <v>160</v>
      </c>
      <c r="C301" t="s">
        <v>161</v>
      </c>
      <c r="D301" t="s">
        <v>36</v>
      </c>
      <c r="E301" t="s">
        <v>37</v>
      </c>
      <c r="F301" t="s">
        <v>75</v>
      </c>
      <c r="G301" t="s">
        <v>59</v>
      </c>
      <c r="H301" t="s">
        <v>482</v>
      </c>
      <c r="I301" t="s">
        <v>29</v>
      </c>
      <c r="J301" t="s">
        <v>29</v>
      </c>
      <c r="K301" t="s">
        <v>31</v>
      </c>
      <c r="L301" s="4">
        <v>45993</v>
      </c>
      <c r="M301" s="4">
        <v>46005</v>
      </c>
      <c r="N301" s="4">
        <v>46004</v>
      </c>
      <c r="O301" t="s">
        <v>32</v>
      </c>
      <c r="P301" s="5">
        <v>1</v>
      </c>
      <c r="Q301" s="6">
        <v>21700</v>
      </c>
      <c r="R301" s="6">
        <v>25277.48</v>
      </c>
      <c r="S301">
        <v>0</v>
      </c>
      <c r="T301">
        <f t="shared" si="8"/>
        <v>0</v>
      </c>
      <c r="U301">
        <f>IF(COUNTIFS($B$2:B301,B301,$F$2:F301,F301)=1,1,0)</f>
        <v>0</v>
      </c>
      <c r="V301" s="13">
        <f t="shared" si="9"/>
        <v>-3577.4799999999996</v>
      </c>
    </row>
    <row r="302" spans="1:22">
      <c r="A302" t="s">
        <v>514</v>
      </c>
      <c r="B302" t="s">
        <v>22</v>
      </c>
      <c r="C302" t="s">
        <v>23</v>
      </c>
      <c r="D302" t="s">
        <v>24</v>
      </c>
      <c r="E302" t="s">
        <v>25</v>
      </c>
      <c r="F302" t="s">
        <v>26</v>
      </c>
      <c r="G302" t="s">
        <v>67</v>
      </c>
      <c r="H302" t="s">
        <v>515</v>
      </c>
      <c r="I302" t="s">
        <v>69</v>
      </c>
      <c r="J302" t="s">
        <v>30</v>
      </c>
      <c r="K302" t="s">
        <v>178</v>
      </c>
      <c r="L302" s="4">
        <v>46052</v>
      </c>
      <c r="M302" s="4">
        <v>46059</v>
      </c>
      <c r="N302" s="4"/>
      <c r="O302" t="s">
        <v>32</v>
      </c>
      <c r="P302" s="5">
        <v>0</v>
      </c>
      <c r="Q302" s="6">
        <v>19300</v>
      </c>
      <c r="R302" s="6">
        <v>0</v>
      </c>
      <c r="S302">
        <v>1</v>
      </c>
      <c r="T302" t="str">
        <f t="shared" si="8"/>
        <v/>
      </c>
      <c r="U302">
        <f>IF(COUNTIFS($B$2:B302,B302,$F$2:F302,F302)=1,1,0)</f>
        <v>0</v>
      </c>
      <c r="V302" s="13">
        <f t="shared" si="9"/>
        <v>19300</v>
      </c>
    </row>
    <row r="303" spans="1:22">
      <c r="A303" t="s">
        <v>516</v>
      </c>
      <c r="B303" t="s">
        <v>34</v>
      </c>
      <c r="C303" t="s">
        <v>35</v>
      </c>
      <c r="D303" t="s">
        <v>36</v>
      </c>
      <c r="E303" t="s">
        <v>37</v>
      </c>
      <c r="F303" t="s">
        <v>38</v>
      </c>
      <c r="G303" t="s">
        <v>76</v>
      </c>
      <c r="H303" t="s">
        <v>517</v>
      </c>
      <c r="I303" t="s">
        <v>69</v>
      </c>
      <c r="J303" t="s">
        <v>69</v>
      </c>
      <c r="K303" t="s">
        <v>178</v>
      </c>
      <c r="L303" s="4">
        <v>45720</v>
      </c>
      <c r="M303" s="4">
        <v>45747</v>
      </c>
      <c r="N303" s="4">
        <v>45755</v>
      </c>
      <c r="O303" t="s">
        <v>32</v>
      </c>
      <c r="P303" s="5">
        <v>1</v>
      </c>
      <c r="Q303" s="6">
        <v>38400</v>
      </c>
      <c r="R303" s="6">
        <v>40805.64</v>
      </c>
      <c r="S303">
        <v>2</v>
      </c>
      <c r="T303">
        <f t="shared" si="8"/>
        <v>8</v>
      </c>
      <c r="U303">
        <f>IF(COUNTIFS($B$2:B303,B303,$F$2:F303,F303)=1,1,0)</f>
        <v>0</v>
      </c>
      <c r="V303" s="13">
        <f t="shared" si="9"/>
        <v>-2405.6399999999994</v>
      </c>
    </row>
    <row r="304" spans="1:22">
      <c r="A304" t="s">
        <v>518</v>
      </c>
      <c r="B304" t="s">
        <v>44</v>
      </c>
      <c r="C304" t="s">
        <v>45</v>
      </c>
      <c r="D304" t="s">
        <v>46</v>
      </c>
      <c r="E304" t="s">
        <v>47</v>
      </c>
      <c r="F304" t="s">
        <v>48</v>
      </c>
      <c r="G304" t="s">
        <v>84</v>
      </c>
      <c r="H304" t="s">
        <v>519</v>
      </c>
      <c r="I304" t="s">
        <v>29</v>
      </c>
      <c r="J304" t="s">
        <v>30</v>
      </c>
      <c r="K304" t="s">
        <v>143</v>
      </c>
      <c r="L304" s="4">
        <v>45690</v>
      </c>
      <c r="M304" s="4">
        <v>45697</v>
      </c>
      <c r="N304" s="4">
        <v>45712</v>
      </c>
      <c r="O304" t="s">
        <v>32</v>
      </c>
      <c r="P304" s="5">
        <v>1</v>
      </c>
      <c r="Q304" s="6">
        <v>40500</v>
      </c>
      <c r="R304" s="6">
        <v>46852.46</v>
      </c>
      <c r="S304">
        <v>0</v>
      </c>
      <c r="T304">
        <f t="shared" si="8"/>
        <v>15</v>
      </c>
      <c r="U304">
        <f>IF(COUNTIFS($B$2:B304,B304,$F$2:F304,F304)=1,1,0)</f>
        <v>0</v>
      </c>
      <c r="V304" s="13">
        <f t="shared" si="9"/>
        <v>-6352.4599999999991</v>
      </c>
    </row>
    <row r="305" spans="1:22">
      <c r="A305" t="s">
        <v>520</v>
      </c>
      <c r="B305" t="s">
        <v>54</v>
      </c>
      <c r="C305" t="s">
        <v>55</v>
      </c>
      <c r="D305" t="s">
        <v>56</v>
      </c>
      <c r="E305" t="s">
        <v>57</v>
      </c>
      <c r="F305" t="s">
        <v>58</v>
      </c>
      <c r="G305" t="s">
        <v>90</v>
      </c>
      <c r="H305" t="s">
        <v>521</v>
      </c>
      <c r="I305" t="s">
        <v>29</v>
      </c>
      <c r="J305" t="s">
        <v>69</v>
      </c>
      <c r="K305" t="s">
        <v>31</v>
      </c>
      <c r="L305" s="4">
        <v>46066</v>
      </c>
      <c r="M305" s="4">
        <v>46085</v>
      </c>
      <c r="N305" s="4"/>
      <c r="O305" t="s">
        <v>32</v>
      </c>
      <c r="P305" s="5">
        <v>0</v>
      </c>
      <c r="Q305" s="6">
        <v>37200</v>
      </c>
      <c r="R305" s="6">
        <v>0</v>
      </c>
      <c r="S305">
        <v>5</v>
      </c>
      <c r="T305" t="str">
        <f t="shared" si="8"/>
        <v/>
      </c>
      <c r="U305">
        <f>IF(COUNTIFS($B$2:B305,B305,$F$2:F305,F305)=1,1,0)</f>
        <v>0</v>
      </c>
      <c r="V305" s="13">
        <f t="shared" si="9"/>
        <v>37200</v>
      </c>
    </row>
    <row r="306" spans="1:22">
      <c r="A306" t="s">
        <v>522</v>
      </c>
      <c r="B306" t="s">
        <v>62</v>
      </c>
      <c r="C306" t="s">
        <v>63</v>
      </c>
      <c r="D306" t="s">
        <v>64</v>
      </c>
      <c r="E306" t="s">
        <v>65</v>
      </c>
      <c r="F306" t="s">
        <v>66</v>
      </c>
      <c r="G306" t="s">
        <v>95</v>
      </c>
      <c r="H306" t="s">
        <v>523</v>
      </c>
      <c r="I306" t="s">
        <v>29</v>
      </c>
      <c r="J306" t="s">
        <v>69</v>
      </c>
      <c r="K306" t="s">
        <v>31</v>
      </c>
      <c r="L306" s="4">
        <v>45869</v>
      </c>
      <c r="M306" s="4">
        <v>45899</v>
      </c>
      <c r="N306" s="4"/>
      <c r="O306" t="s">
        <v>32</v>
      </c>
      <c r="P306" s="5">
        <v>0.9</v>
      </c>
      <c r="Q306" s="6">
        <v>18600</v>
      </c>
      <c r="R306" s="6">
        <v>21102.65</v>
      </c>
      <c r="S306">
        <v>4</v>
      </c>
      <c r="T306" t="str">
        <f t="shared" si="8"/>
        <v/>
      </c>
      <c r="U306">
        <f>IF(COUNTIFS($B$2:B306,B306,$F$2:F306,F306)=1,1,0)</f>
        <v>0</v>
      </c>
      <c r="V306" s="13">
        <f t="shared" si="9"/>
        <v>-2502.6500000000015</v>
      </c>
    </row>
    <row r="307" spans="1:22">
      <c r="A307" t="s">
        <v>524</v>
      </c>
      <c r="B307" t="s">
        <v>71</v>
      </c>
      <c r="C307" t="s">
        <v>72</v>
      </c>
      <c r="D307" t="s">
        <v>73</v>
      </c>
      <c r="E307" t="s">
        <v>74</v>
      </c>
      <c r="F307" t="s">
        <v>75</v>
      </c>
      <c r="G307" t="s">
        <v>27</v>
      </c>
      <c r="H307" t="s">
        <v>525</v>
      </c>
      <c r="I307" t="s">
        <v>29</v>
      </c>
      <c r="J307" t="s">
        <v>30</v>
      </c>
      <c r="K307" t="s">
        <v>178</v>
      </c>
      <c r="L307" s="4">
        <v>45822</v>
      </c>
      <c r="M307" s="4">
        <v>45849</v>
      </c>
      <c r="N307" s="4">
        <v>45846</v>
      </c>
      <c r="O307" t="s">
        <v>32</v>
      </c>
      <c r="P307" s="5">
        <v>1</v>
      </c>
      <c r="Q307" s="6">
        <v>6200</v>
      </c>
      <c r="R307" s="6">
        <v>6910.97</v>
      </c>
      <c r="S307">
        <v>2</v>
      </c>
      <c r="T307">
        <f t="shared" si="8"/>
        <v>0</v>
      </c>
      <c r="U307">
        <f>IF(COUNTIFS($B$2:B307,B307,$F$2:F307,F307)=1,1,0)</f>
        <v>0</v>
      </c>
      <c r="V307" s="13">
        <f t="shared" si="9"/>
        <v>-710.97000000000025</v>
      </c>
    </row>
    <row r="308" spans="1:22">
      <c r="A308" t="s">
        <v>526</v>
      </c>
      <c r="B308" t="s">
        <v>80</v>
      </c>
      <c r="C308" t="s">
        <v>81</v>
      </c>
      <c r="D308" t="s">
        <v>82</v>
      </c>
      <c r="E308" t="s">
        <v>83</v>
      </c>
      <c r="F308" t="s">
        <v>26</v>
      </c>
      <c r="G308" t="s">
        <v>39</v>
      </c>
      <c r="H308" t="s">
        <v>527</v>
      </c>
      <c r="I308" t="s">
        <v>29</v>
      </c>
      <c r="J308" t="s">
        <v>30</v>
      </c>
      <c r="K308" t="s">
        <v>31</v>
      </c>
      <c r="L308" s="4">
        <v>45830</v>
      </c>
      <c r="M308" s="4">
        <v>45847</v>
      </c>
      <c r="N308" s="4"/>
      <c r="O308" t="s">
        <v>32</v>
      </c>
      <c r="P308" s="5">
        <v>0.5</v>
      </c>
      <c r="Q308" s="6">
        <v>38600</v>
      </c>
      <c r="R308" s="6">
        <v>45869.93</v>
      </c>
      <c r="S308">
        <v>2</v>
      </c>
      <c r="T308" t="str">
        <f t="shared" si="8"/>
        <v/>
      </c>
      <c r="U308">
        <f>IF(COUNTIFS($B$2:B308,B308,$F$2:F308,F308)=1,1,0)</f>
        <v>0</v>
      </c>
      <c r="V308" s="13">
        <f t="shared" si="9"/>
        <v>-7269.93</v>
      </c>
    </row>
    <row r="309" spans="1:22">
      <c r="A309" t="s">
        <v>528</v>
      </c>
      <c r="B309" t="s">
        <v>88</v>
      </c>
      <c r="C309" t="s">
        <v>89</v>
      </c>
      <c r="D309" t="s">
        <v>24</v>
      </c>
      <c r="E309" t="s">
        <v>25</v>
      </c>
      <c r="F309" t="s">
        <v>38</v>
      </c>
      <c r="G309" t="s">
        <v>49</v>
      </c>
      <c r="H309" t="s">
        <v>529</v>
      </c>
      <c r="I309" t="s">
        <v>29</v>
      </c>
      <c r="J309" t="s">
        <v>29</v>
      </c>
      <c r="K309" t="s">
        <v>51</v>
      </c>
      <c r="L309" s="4">
        <v>45789</v>
      </c>
      <c r="M309" s="4">
        <v>45818</v>
      </c>
      <c r="N309" s="4">
        <v>45827</v>
      </c>
      <c r="O309" t="s">
        <v>32</v>
      </c>
      <c r="P309" s="5">
        <v>1</v>
      </c>
      <c r="Q309" s="6">
        <v>43600</v>
      </c>
      <c r="R309" s="6">
        <v>50539.79</v>
      </c>
      <c r="S309">
        <v>1</v>
      </c>
      <c r="T309">
        <f t="shared" si="8"/>
        <v>9</v>
      </c>
      <c r="U309">
        <f>IF(COUNTIFS($B$2:B309,B309,$F$2:F309,F309)=1,1,0)</f>
        <v>0</v>
      </c>
      <c r="V309" s="13">
        <f t="shared" si="9"/>
        <v>-6939.7900000000009</v>
      </c>
    </row>
    <row r="310" spans="1:22">
      <c r="A310" t="s">
        <v>530</v>
      </c>
      <c r="B310" t="s">
        <v>93</v>
      </c>
      <c r="C310" t="s">
        <v>94</v>
      </c>
      <c r="D310" t="s">
        <v>36</v>
      </c>
      <c r="E310" t="s">
        <v>37</v>
      </c>
      <c r="F310" t="s">
        <v>48</v>
      </c>
      <c r="G310" t="s">
        <v>59</v>
      </c>
      <c r="H310" t="s">
        <v>531</v>
      </c>
      <c r="I310" t="s">
        <v>29</v>
      </c>
      <c r="J310" t="s">
        <v>29</v>
      </c>
      <c r="K310" t="s">
        <v>31</v>
      </c>
      <c r="L310" s="4">
        <v>46143</v>
      </c>
      <c r="M310" s="4">
        <v>46173</v>
      </c>
      <c r="N310" s="4"/>
      <c r="O310" t="s">
        <v>52</v>
      </c>
      <c r="P310" s="5">
        <v>0.85</v>
      </c>
      <c r="Q310" s="6">
        <v>25400</v>
      </c>
      <c r="R310" s="6">
        <v>26445.07</v>
      </c>
      <c r="S310">
        <v>2</v>
      </c>
      <c r="T310" t="str">
        <f t="shared" si="8"/>
        <v/>
      </c>
      <c r="U310">
        <f>IF(COUNTIFS($B$2:B310,B310,$F$2:F310,F310)=1,1,0)</f>
        <v>0</v>
      </c>
      <c r="V310" s="13">
        <f t="shared" si="9"/>
        <v>-1045.0699999999997</v>
      </c>
    </row>
    <row r="311" spans="1:22">
      <c r="A311" t="s">
        <v>532</v>
      </c>
      <c r="B311" t="s">
        <v>98</v>
      </c>
      <c r="C311" t="s">
        <v>99</v>
      </c>
      <c r="D311" t="s">
        <v>46</v>
      </c>
      <c r="E311" t="s">
        <v>47</v>
      </c>
      <c r="F311" t="s">
        <v>58</v>
      </c>
      <c r="G311" t="s">
        <v>67</v>
      </c>
      <c r="H311" t="s">
        <v>515</v>
      </c>
      <c r="I311" t="s">
        <v>69</v>
      </c>
      <c r="J311" t="s">
        <v>30</v>
      </c>
      <c r="K311" t="s">
        <v>31</v>
      </c>
      <c r="L311" s="4">
        <v>45771</v>
      </c>
      <c r="M311" s="4">
        <v>45778</v>
      </c>
      <c r="N311" s="4"/>
      <c r="O311" t="s">
        <v>52</v>
      </c>
      <c r="P311" s="5">
        <v>0.6</v>
      </c>
      <c r="Q311" s="6">
        <v>17700</v>
      </c>
      <c r="R311" s="6">
        <v>18560.11</v>
      </c>
      <c r="S311">
        <v>0</v>
      </c>
      <c r="T311" t="str">
        <f t="shared" si="8"/>
        <v/>
      </c>
      <c r="U311">
        <f>IF(COUNTIFS($B$2:B311,B311,$F$2:F311,F311)=1,1,0)</f>
        <v>0</v>
      </c>
      <c r="V311" s="13">
        <f t="shared" si="9"/>
        <v>-860.11000000000058</v>
      </c>
    </row>
    <row r="312" spans="1:22">
      <c r="A312" t="s">
        <v>533</v>
      </c>
      <c r="B312" t="s">
        <v>101</v>
      </c>
      <c r="C312" t="s">
        <v>102</v>
      </c>
      <c r="D312" t="s">
        <v>56</v>
      </c>
      <c r="E312" t="s">
        <v>57</v>
      </c>
      <c r="F312" t="s">
        <v>66</v>
      </c>
      <c r="G312" t="s">
        <v>76</v>
      </c>
      <c r="H312" t="s">
        <v>517</v>
      </c>
      <c r="I312" t="s">
        <v>69</v>
      </c>
      <c r="J312" t="s">
        <v>30</v>
      </c>
      <c r="K312" t="s">
        <v>41</v>
      </c>
      <c r="L312" s="4">
        <v>46014</v>
      </c>
      <c r="M312" s="4">
        <v>46019</v>
      </c>
      <c r="N312" s="4"/>
      <c r="O312" t="s">
        <v>52</v>
      </c>
      <c r="P312" s="5">
        <v>0.85</v>
      </c>
      <c r="Q312" s="6">
        <v>20800</v>
      </c>
      <c r="R312" s="6">
        <v>18812.419999999998</v>
      </c>
      <c r="S312">
        <v>3</v>
      </c>
      <c r="T312" t="str">
        <f t="shared" si="8"/>
        <v/>
      </c>
      <c r="U312">
        <f>IF(COUNTIFS($B$2:B312,B312,$F$2:F312,F312)=1,1,0)</f>
        <v>0</v>
      </c>
      <c r="V312" s="13">
        <f t="shared" si="9"/>
        <v>1987.5800000000017</v>
      </c>
    </row>
    <row r="313" spans="1:22">
      <c r="A313" t="s">
        <v>534</v>
      </c>
      <c r="B313" t="s">
        <v>104</v>
      </c>
      <c r="C313" t="s">
        <v>105</v>
      </c>
      <c r="D313" t="s">
        <v>64</v>
      </c>
      <c r="E313" t="s">
        <v>65</v>
      </c>
      <c r="F313" t="s">
        <v>75</v>
      </c>
      <c r="G313" t="s">
        <v>84</v>
      </c>
      <c r="H313" t="s">
        <v>519</v>
      </c>
      <c r="I313" t="s">
        <v>69</v>
      </c>
      <c r="J313" t="s">
        <v>30</v>
      </c>
      <c r="K313" t="s">
        <v>31</v>
      </c>
      <c r="L313" s="4">
        <v>46160</v>
      </c>
      <c r="M313" s="4">
        <v>46164</v>
      </c>
      <c r="N313" s="4"/>
      <c r="O313" t="s">
        <v>42</v>
      </c>
      <c r="P313" s="5">
        <v>0</v>
      </c>
      <c r="Q313" s="6">
        <v>26500</v>
      </c>
      <c r="R313" s="6">
        <v>0</v>
      </c>
      <c r="S313">
        <v>2</v>
      </c>
      <c r="T313" t="str">
        <f t="shared" si="8"/>
        <v/>
      </c>
      <c r="U313">
        <f>IF(COUNTIFS($B$2:B313,B313,$F$2:F313,F313)=1,1,0)</f>
        <v>0</v>
      </c>
      <c r="V313" s="13">
        <f t="shared" si="9"/>
        <v>26500</v>
      </c>
    </row>
    <row r="314" spans="1:22">
      <c r="A314" t="s">
        <v>535</v>
      </c>
      <c r="B314" t="s">
        <v>107</v>
      </c>
      <c r="C314" t="s">
        <v>108</v>
      </c>
      <c r="D314" t="s">
        <v>73</v>
      </c>
      <c r="E314" t="s">
        <v>74</v>
      </c>
      <c r="F314" t="s">
        <v>26</v>
      </c>
      <c r="G314" t="s">
        <v>90</v>
      </c>
      <c r="H314" t="s">
        <v>521</v>
      </c>
      <c r="I314" t="s">
        <v>30</v>
      </c>
      <c r="J314" t="s">
        <v>29</v>
      </c>
      <c r="K314" t="s">
        <v>31</v>
      </c>
      <c r="L314" s="4">
        <v>45996</v>
      </c>
      <c r="M314" s="4">
        <v>46004</v>
      </c>
      <c r="N314" s="4"/>
      <c r="O314" t="s">
        <v>52</v>
      </c>
      <c r="P314" s="5">
        <v>0.6</v>
      </c>
      <c r="Q314" s="6">
        <v>39900</v>
      </c>
      <c r="R314" s="6">
        <v>36736.76</v>
      </c>
      <c r="S314">
        <v>3</v>
      </c>
      <c r="T314" t="str">
        <f t="shared" si="8"/>
        <v/>
      </c>
      <c r="U314">
        <f>IF(COUNTIFS($B$2:B314,B314,$F$2:F314,F314)=1,1,0)</f>
        <v>0</v>
      </c>
      <c r="V314" s="13">
        <f t="shared" si="9"/>
        <v>3163.239999999998</v>
      </c>
    </row>
    <row r="315" spans="1:22">
      <c r="A315" t="s">
        <v>536</v>
      </c>
      <c r="B315" t="s">
        <v>111</v>
      </c>
      <c r="C315" t="s">
        <v>112</v>
      </c>
      <c r="D315" t="s">
        <v>82</v>
      </c>
      <c r="E315" t="s">
        <v>83</v>
      </c>
      <c r="F315" t="s">
        <v>38</v>
      </c>
      <c r="G315" t="s">
        <v>95</v>
      </c>
      <c r="H315" t="s">
        <v>523</v>
      </c>
      <c r="I315" t="s">
        <v>29</v>
      </c>
      <c r="J315" t="s">
        <v>30</v>
      </c>
      <c r="K315" t="s">
        <v>31</v>
      </c>
      <c r="L315" s="4">
        <v>45847</v>
      </c>
      <c r="M315" s="4">
        <v>45865</v>
      </c>
      <c r="N315" s="4"/>
      <c r="O315" t="s">
        <v>42</v>
      </c>
      <c r="P315" s="5">
        <v>0</v>
      </c>
      <c r="Q315" s="6">
        <v>13700</v>
      </c>
      <c r="R315" s="6">
        <v>0</v>
      </c>
      <c r="S315">
        <v>2</v>
      </c>
      <c r="T315" t="str">
        <f t="shared" si="8"/>
        <v/>
      </c>
      <c r="U315">
        <f>IF(COUNTIFS($B$2:B315,B315,$F$2:F315,F315)=1,1,0)</f>
        <v>0</v>
      </c>
      <c r="V315" s="13">
        <f t="shared" si="9"/>
        <v>13700</v>
      </c>
    </row>
    <row r="316" spans="1:22">
      <c r="A316" t="s">
        <v>537</v>
      </c>
      <c r="B316" t="s">
        <v>114</v>
      </c>
      <c r="C316" t="s">
        <v>115</v>
      </c>
      <c r="D316" t="s">
        <v>24</v>
      </c>
      <c r="E316" t="s">
        <v>25</v>
      </c>
      <c r="F316" t="s">
        <v>48</v>
      </c>
      <c r="G316" t="s">
        <v>27</v>
      </c>
      <c r="H316" t="s">
        <v>525</v>
      </c>
      <c r="I316" t="s">
        <v>69</v>
      </c>
      <c r="J316" t="s">
        <v>29</v>
      </c>
      <c r="K316" t="s">
        <v>51</v>
      </c>
      <c r="L316" s="4">
        <v>46104</v>
      </c>
      <c r="M316" s="4">
        <v>46132</v>
      </c>
      <c r="N316" s="4"/>
      <c r="O316" t="s">
        <v>42</v>
      </c>
      <c r="P316" s="5">
        <v>0</v>
      </c>
      <c r="Q316" s="6">
        <v>18100</v>
      </c>
      <c r="R316" s="6">
        <v>0</v>
      </c>
      <c r="S316">
        <v>1</v>
      </c>
      <c r="T316" t="str">
        <f t="shared" si="8"/>
        <v/>
      </c>
      <c r="U316">
        <f>IF(COUNTIFS($B$2:B316,B316,$F$2:F316,F316)=1,1,0)</f>
        <v>0</v>
      </c>
      <c r="V316" s="13">
        <f t="shared" si="9"/>
        <v>18100</v>
      </c>
    </row>
    <row r="317" spans="1:22">
      <c r="A317" t="s">
        <v>538</v>
      </c>
      <c r="B317" t="s">
        <v>117</v>
      </c>
      <c r="C317" t="s">
        <v>118</v>
      </c>
      <c r="D317" t="s">
        <v>36</v>
      </c>
      <c r="E317" t="s">
        <v>37</v>
      </c>
      <c r="F317" t="s">
        <v>58</v>
      </c>
      <c r="G317" t="s">
        <v>39</v>
      </c>
      <c r="H317" t="s">
        <v>527</v>
      </c>
      <c r="I317" t="s">
        <v>69</v>
      </c>
      <c r="J317" t="s">
        <v>30</v>
      </c>
      <c r="K317" t="s">
        <v>143</v>
      </c>
      <c r="L317" s="4">
        <v>45961</v>
      </c>
      <c r="M317" s="4">
        <v>45976</v>
      </c>
      <c r="N317" s="4"/>
      <c r="O317" t="s">
        <v>52</v>
      </c>
      <c r="P317" s="5">
        <v>0.25</v>
      </c>
      <c r="Q317" s="6">
        <v>15400</v>
      </c>
      <c r="R317" s="6">
        <v>13822.67</v>
      </c>
      <c r="S317">
        <v>2</v>
      </c>
      <c r="T317" t="str">
        <f t="shared" si="8"/>
        <v/>
      </c>
      <c r="U317">
        <f>IF(COUNTIFS($B$2:B317,B317,$F$2:F317,F317)=1,1,0)</f>
        <v>0</v>
      </c>
      <c r="V317" s="13">
        <f t="shared" si="9"/>
        <v>1577.33</v>
      </c>
    </row>
    <row r="318" spans="1:22">
      <c r="A318" t="s">
        <v>539</v>
      </c>
      <c r="B318" t="s">
        <v>120</v>
      </c>
      <c r="C318" t="s">
        <v>121</v>
      </c>
      <c r="D318" t="s">
        <v>46</v>
      </c>
      <c r="E318" t="s">
        <v>47</v>
      </c>
      <c r="F318" t="s">
        <v>66</v>
      </c>
      <c r="G318" t="s">
        <v>49</v>
      </c>
      <c r="H318" t="s">
        <v>529</v>
      </c>
      <c r="I318" t="s">
        <v>69</v>
      </c>
      <c r="J318" t="s">
        <v>30</v>
      </c>
      <c r="K318" t="s">
        <v>178</v>
      </c>
      <c r="L318" s="4">
        <v>45814</v>
      </c>
      <c r="M318" s="4">
        <v>45828</v>
      </c>
      <c r="N318" s="4">
        <v>45845</v>
      </c>
      <c r="O318" t="s">
        <v>32</v>
      </c>
      <c r="P318" s="5">
        <v>1</v>
      </c>
      <c r="Q318" s="6">
        <v>45000</v>
      </c>
      <c r="R318" s="6">
        <v>48143.55</v>
      </c>
      <c r="S318">
        <v>1</v>
      </c>
      <c r="T318">
        <f t="shared" si="8"/>
        <v>17</v>
      </c>
      <c r="U318">
        <f>IF(COUNTIFS($B$2:B318,B318,$F$2:F318,F318)=1,1,0)</f>
        <v>0</v>
      </c>
      <c r="V318" s="13">
        <f t="shared" si="9"/>
        <v>-3143.5500000000029</v>
      </c>
    </row>
    <row r="319" spans="1:22">
      <c r="A319" t="s">
        <v>540</v>
      </c>
      <c r="B319" t="s">
        <v>123</v>
      </c>
      <c r="C319" t="s">
        <v>124</v>
      </c>
      <c r="D319" t="s">
        <v>56</v>
      </c>
      <c r="E319" t="s">
        <v>57</v>
      </c>
      <c r="F319" t="s">
        <v>75</v>
      </c>
      <c r="G319" t="s">
        <v>59</v>
      </c>
      <c r="H319" t="s">
        <v>531</v>
      </c>
      <c r="I319" t="s">
        <v>69</v>
      </c>
      <c r="J319" t="s">
        <v>30</v>
      </c>
      <c r="K319" t="s">
        <v>41</v>
      </c>
      <c r="L319" s="4">
        <v>45692</v>
      </c>
      <c r="M319" s="4">
        <v>45719</v>
      </c>
      <c r="N319" s="4"/>
      <c r="O319" t="s">
        <v>109</v>
      </c>
      <c r="P319" s="5">
        <v>0.2</v>
      </c>
      <c r="Q319" s="6">
        <v>26500</v>
      </c>
      <c r="R319" s="6">
        <v>29903.61</v>
      </c>
      <c r="S319">
        <v>1</v>
      </c>
      <c r="T319" t="str">
        <f t="shared" si="8"/>
        <v/>
      </c>
      <c r="U319">
        <f>IF(COUNTIFS($B$2:B319,B319,$F$2:F319,F319)=1,1,0)</f>
        <v>0</v>
      </c>
      <c r="V319" s="13">
        <f t="shared" si="9"/>
        <v>-3403.6100000000006</v>
      </c>
    </row>
    <row r="320" spans="1:22">
      <c r="A320" t="s">
        <v>541</v>
      </c>
      <c r="B320" t="s">
        <v>126</v>
      </c>
      <c r="C320" t="s">
        <v>127</v>
      </c>
      <c r="D320" t="s">
        <v>64</v>
      </c>
      <c r="E320" t="s">
        <v>65</v>
      </c>
      <c r="F320" t="s">
        <v>26</v>
      </c>
      <c r="G320" t="s">
        <v>67</v>
      </c>
      <c r="H320" t="s">
        <v>515</v>
      </c>
      <c r="I320" t="s">
        <v>86</v>
      </c>
      <c r="J320" t="s">
        <v>69</v>
      </c>
      <c r="K320" t="s">
        <v>31</v>
      </c>
      <c r="L320" s="4">
        <v>45770</v>
      </c>
      <c r="M320" s="4">
        <v>45791</v>
      </c>
      <c r="N320" s="4"/>
      <c r="O320" t="s">
        <v>52</v>
      </c>
      <c r="P320" s="5">
        <v>0.85</v>
      </c>
      <c r="Q320" s="6">
        <v>31800</v>
      </c>
      <c r="R320" s="6">
        <v>34743.5</v>
      </c>
      <c r="S320">
        <v>3</v>
      </c>
      <c r="T320" t="str">
        <f t="shared" si="8"/>
        <v/>
      </c>
      <c r="U320">
        <f>IF(COUNTIFS($B$2:B320,B320,$F$2:F320,F320)=1,1,0)</f>
        <v>0</v>
      </c>
      <c r="V320" s="13">
        <f t="shared" si="9"/>
        <v>-2943.5</v>
      </c>
    </row>
    <row r="321" spans="1:22">
      <c r="A321" t="s">
        <v>542</v>
      </c>
      <c r="B321" t="s">
        <v>129</v>
      </c>
      <c r="C321" t="s">
        <v>130</v>
      </c>
      <c r="D321" t="s">
        <v>73</v>
      </c>
      <c r="E321" t="s">
        <v>74</v>
      </c>
      <c r="F321" t="s">
        <v>38</v>
      </c>
      <c r="G321" t="s">
        <v>76</v>
      </c>
      <c r="H321" t="s">
        <v>517</v>
      </c>
      <c r="I321" t="s">
        <v>69</v>
      </c>
      <c r="J321" t="s">
        <v>69</v>
      </c>
      <c r="K321" t="s">
        <v>143</v>
      </c>
      <c r="L321" s="4">
        <v>45918</v>
      </c>
      <c r="M321" s="4">
        <v>45927</v>
      </c>
      <c r="N321" s="4">
        <v>45936</v>
      </c>
      <c r="O321" t="s">
        <v>32</v>
      </c>
      <c r="P321" s="5">
        <v>1</v>
      </c>
      <c r="Q321" s="6">
        <v>25100</v>
      </c>
      <c r="R321" s="6">
        <v>20052.919999999998</v>
      </c>
      <c r="S321">
        <v>3</v>
      </c>
      <c r="T321">
        <f t="shared" si="8"/>
        <v>9</v>
      </c>
      <c r="U321">
        <f>IF(COUNTIFS($B$2:B321,B321,$F$2:F321,F321)=1,1,0)</f>
        <v>0</v>
      </c>
      <c r="V321" s="13">
        <f t="shared" si="9"/>
        <v>5047.0800000000017</v>
      </c>
    </row>
    <row r="322" spans="1:22">
      <c r="A322" t="s">
        <v>543</v>
      </c>
      <c r="B322" t="s">
        <v>132</v>
      </c>
      <c r="C322" t="s">
        <v>133</v>
      </c>
      <c r="D322" t="s">
        <v>82</v>
      </c>
      <c r="E322" t="s">
        <v>83</v>
      </c>
      <c r="F322" t="s">
        <v>48</v>
      </c>
      <c r="G322" t="s">
        <v>84</v>
      </c>
      <c r="H322" t="s">
        <v>519</v>
      </c>
      <c r="I322" t="s">
        <v>30</v>
      </c>
      <c r="J322" t="s">
        <v>29</v>
      </c>
      <c r="K322" t="s">
        <v>31</v>
      </c>
      <c r="L322" s="4">
        <v>45904</v>
      </c>
      <c r="M322" s="4">
        <v>45907</v>
      </c>
      <c r="N322" s="4"/>
      <c r="O322" t="s">
        <v>52</v>
      </c>
      <c r="P322" s="5">
        <v>0.75</v>
      </c>
      <c r="Q322" s="6">
        <v>10300</v>
      </c>
      <c r="R322" s="6">
        <v>10787.36</v>
      </c>
      <c r="S322">
        <v>3</v>
      </c>
      <c r="T322" t="str">
        <f t="shared" ref="T322:T385" si="10">IF(N322="","",MAX(0,N322-M322))</f>
        <v/>
      </c>
      <c r="U322">
        <f>IF(COUNTIFS($B$2:B322,B322,$F$2:F322,F322)=1,1,0)</f>
        <v>0</v>
      </c>
      <c r="V322" s="13">
        <f t="shared" ref="V322:V385" si="11">Q322-R322</f>
        <v>-487.36000000000058</v>
      </c>
    </row>
    <row r="323" spans="1:22">
      <c r="A323" t="s">
        <v>544</v>
      </c>
      <c r="B323" t="s">
        <v>135</v>
      </c>
      <c r="C323" t="s">
        <v>136</v>
      </c>
      <c r="D323" t="s">
        <v>24</v>
      </c>
      <c r="E323" t="s">
        <v>25</v>
      </c>
      <c r="F323" t="s">
        <v>58</v>
      </c>
      <c r="G323" t="s">
        <v>90</v>
      </c>
      <c r="H323" t="s">
        <v>521</v>
      </c>
      <c r="I323" t="s">
        <v>86</v>
      </c>
      <c r="J323" t="s">
        <v>29</v>
      </c>
      <c r="K323" t="s">
        <v>31</v>
      </c>
      <c r="L323" s="4">
        <v>45926</v>
      </c>
      <c r="M323" s="4">
        <v>45933</v>
      </c>
      <c r="N323" s="4">
        <v>45943</v>
      </c>
      <c r="O323" t="s">
        <v>32</v>
      </c>
      <c r="P323" s="5">
        <v>1</v>
      </c>
      <c r="Q323" s="6">
        <v>41400</v>
      </c>
      <c r="R323" s="6">
        <v>43572.5</v>
      </c>
      <c r="S323">
        <v>0</v>
      </c>
      <c r="T323">
        <f t="shared" si="10"/>
        <v>10</v>
      </c>
      <c r="U323">
        <f>IF(COUNTIFS($B$2:B323,B323,$F$2:F323,F323)=1,1,0)</f>
        <v>0</v>
      </c>
      <c r="V323" s="13">
        <f t="shared" si="11"/>
        <v>-2172.5</v>
      </c>
    </row>
    <row r="324" spans="1:22">
      <c r="A324" t="s">
        <v>545</v>
      </c>
      <c r="B324" t="s">
        <v>138</v>
      </c>
      <c r="C324" t="s">
        <v>139</v>
      </c>
      <c r="D324" t="s">
        <v>36</v>
      </c>
      <c r="E324" t="s">
        <v>37</v>
      </c>
      <c r="F324" t="s">
        <v>66</v>
      </c>
      <c r="G324" t="s">
        <v>95</v>
      </c>
      <c r="H324" t="s">
        <v>523</v>
      </c>
      <c r="I324" t="s">
        <v>69</v>
      </c>
      <c r="J324" t="s">
        <v>69</v>
      </c>
      <c r="K324" t="s">
        <v>31</v>
      </c>
      <c r="L324" s="4">
        <v>46072</v>
      </c>
      <c r="M324" s="4">
        <v>46093</v>
      </c>
      <c r="N324" s="4"/>
      <c r="O324" t="s">
        <v>42</v>
      </c>
      <c r="P324" s="5">
        <v>0</v>
      </c>
      <c r="Q324" s="6">
        <v>14600</v>
      </c>
      <c r="R324" s="6">
        <v>0</v>
      </c>
      <c r="S324">
        <v>4</v>
      </c>
      <c r="T324" t="str">
        <f t="shared" si="10"/>
        <v/>
      </c>
      <c r="U324">
        <f>IF(COUNTIFS($B$2:B324,B324,$F$2:F324,F324)=1,1,0)</f>
        <v>0</v>
      </c>
      <c r="V324" s="13">
        <f t="shared" si="11"/>
        <v>14600</v>
      </c>
    </row>
    <row r="325" spans="1:22">
      <c r="A325" t="s">
        <v>546</v>
      </c>
      <c r="B325" t="s">
        <v>141</v>
      </c>
      <c r="C325" t="s">
        <v>142</v>
      </c>
      <c r="D325" t="s">
        <v>46</v>
      </c>
      <c r="E325" t="s">
        <v>47</v>
      </c>
      <c r="F325" t="s">
        <v>75</v>
      </c>
      <c r="G325" t="s">
        <v>27</v>
      </c>
      <c r="H325" t="s">
        <v>525</v>
      </c>
      <c r="I325" t="s">
        <v>86</v>
      </c>
      <c r="J325" t="s">
        <v>29</v>
      </c>
      <c r="K325" t="s">
        <v>178</v>
      </c>
      <c r="L325" s="4">
        <v>45757</v>
      </c>
      <c r="M325" s="4">
        <v>45765</v>
      </c>
      <c r="N325" s="4">
        <v>45753</v>
      </c>
      <c r="O325" t="s">
        <v>32</v>
      </c>
      <c r="P325" s="5">
        <v>1</v>
      </c>
      <c r="Q325" s="6">
        <v>28200</v>
      </c>
      <c r="R325" s="6">
        <v>26291.66</v>
      </c>
      <c r="S325">
        <v>1</v>
      </c>
      <c r="T325">
        <f t="shared" si="10"/>
        <v>0</v>
      </c>
      <c r="U325">
        <f>IF(COUNTIFS($B$2:B325,B325,$F$2:F325,F325)=1,1,0)</f>
        <v>0</v>
      </c>
      <c r="V325" s="13">
        <f t="shared" si="11"/>
        <v>1908.3400000000001</v>
      </c>
    </row>
    <row r="326" spans="1:22">
      <c r="A326" t="s">
        <v>547</v>
      </c>
      <c r="B326" t="s">
        <v>145</v>
      </c>
      <c r="C326" t="s">
        <v>146</v>
      </c>
      <c r="D326" t="s">
        <v>56</v>
      </c>
      <c r="E326" t="s">
        <v>57</v>
      </c>
      <c r="F326" t="s">
        <v>26</v>
      </c>
      <c r="G326" t="s">
        <v>39</v>
      </c>
      <c r="H326" t="s">
        <v>527</v>
      </c>
      <c r="I326" t="s">
        <v>69</v>
      </c>
      <c r="J326" t="s">
        <v>30</v>
      </c>
      <c r="K326" t="s">
        <v>78</v>
      </c>
      <c r="L326" s="4">
        <v>46025</v>
      </c>
      <c r="M326" s="4">
        <v>46032</v>
      </c>
      <c r="N326" s="4"/>
      <c r="O326" t="s">
        <v>42</v>
      </c>
      <c r="P326" s="5">
        <v>0</v>
      </c>
      <c r="Q326" s="6">
        <v>1600</v>
      </c>
      <c r="R326" s="6">
        <v>0</v>
      </c>
      <c r="S326">
        <v>1</v>
      </c>
      <c r="T326" t="str">
        <f t="shared" si="10"/>
        <v/>
      </c>
      <c r="U326">
        <f>IF(COUNTIFS($B$2:B326,B326,$F$2:F326,F326)=1,1,0)</f>
        <v>0</v>
      </c>
      <c r="V326" s="13">
        <f t="shared" si="11"/>
        <v>1600</v>
      </c>
    </row>
    <row r="327" spans="1:22">
      <c r="A327" t="s">
        <v>548</v>
      </c>
      <c r="B327" t="s">
        <v>148</v>
      </c>
      <c r="C327" t="s">
        <v>149</v>
      </c>
      <c r="D327" t="s">
        <v>64</v>
      </c>
      <c r="E327" t="s">
        <v>65</v>
      </c>
      <c r="F327" t="s">
        <v>38</v>
      </c>
      <c r="G327" t="s">
        <v>49</v>
      </c>
      <c r="H327" t="s">
        <v>529</v>
      </c>
      <c r="I327" t="s">
        <v>69</v>
      </c>
      <c r="J327" t="s">
        <v>29</v>
      </c>
      <c r="K327" t="s">
        <v>143</v>
      </c>
      <c r="L327" s="4">
        <v>45810</v>
      </c>
      <c r="M327" s="4">
        <v>45832</v>
      </c>
      <c r="N327" s="4"/>
      <c r="O327" t="s">
        <v>52</v>
      </c>
      <c r="P327" s="5">
        <v>0.9</v>
      </c>
      <c r="Q327" s="6">
        <v>43600</v>
      </c>
      <c r="R327" s="6">
        <v>38498.870000000003</v>
      </c>
      <c r="S327">
        <v>2</v>
      </c>
      <c r="T327" t="str">
        <f t="shared" si="10"/>
        <v/>
      </c>
      <c r="U327">
        <f>IF(COUNTIFS($B$2:B327,B327,$F$2:F327,F327)=1,1,0)</f>
        <v>0</v>
      </c>
      <c r="V327" s="13">
        <f t="shared" si="11"/>
        <v>5101.1299999999974</v>
      </c>
    </row>
    <row r="328" spans="1:22">
      <c r="A328" t="s">
        <v>549</v>
      </c>
      <c r="B328" t="s">
        <v>151</v>
      </c>
      <c r="C328" t="s">
        <v>152</v>
      </c>
      <c r="D328" t="s">
        <v>73</v>
      </c>
      <c r="E328" t="s">
        <v>74</v>
      </c>
      <c r="F328" t="s">
        <v>48</v>
      </c>
      <c r="G328" t="s">
        <v>59</v>
      </c>
      <c r="H328" t="s">
        <v>531</v>
      </c>
      <c r="I328" t="s">
        <v>86</v>
      </c>
      <c r="J328" t="s">
        <v>30</v>
      </c>
      <c r="K328" t="s">
        <v>78</v>
      </c>
      <c r="L328" s="4">
        <v>46089</v>
      </c>
      <c r="M328" s="4">
        <v>46103</v>
      </c>
      <c r="N328" s="4"/>
      <c r="O328" t="s">
        <v>109</v>
      </c>
      <c r="P328" s="5">
        <v>0.2</v>
      </c>
      <c r="Q328" s="6">
        <v>29200</v>
      </c>
      <c r="R328" s="6">
        <v>33862.370000000003</v>
      </c>
      <c r="S328">
        <v>4</v>
      </c>
      <c r="T328" t="str">
        <f t="shared" si="10"/>
        <v/>
      </c>
      <c r="U328">
        <f>IF(COUNTIFS($B$2:B328,B328,$F$2:F328,F328)=1,1,0)</f>
        <v>0</v>
      </c>
      <c r="V328" s="13">
        <f t="shared" si="11"/>
        <v>-4662.3700000000026</v>
      </c>
    </row>
    <row r="329" spans="1:22">
      <c r="A329" t="s">
        <v>550</v>
      </c>
      <c r="B329" t="s">
        <v>154</v>
      </c>
      <c r="C329" t="s">
        <v>155</v>
      </c>
      <c r="D329" t="s">
        <v>82</v>
      </c>
      <c r="E329" t="s">
        <v>83</v>
      </c>
      <c r="F329" t="s">
        <v>58</v>
      </c>
      <c r="G329" t="s">
        <v>67</v>
      </c>
      <c r="H329" t="s">
        <v>515</v>
      </c>
      <c r="I329" t="s">
        <v>69</v>
      </c>
      <c r="J329" t="s">
        <v>29</v>
      </c>
      <c r="K329" t="s">
        <v>31</v>
      </c>
      <c r="L329" s="4">
        <v>45997</v>
      </c>
      <c r="M329" s="4">
        <v>46008</v>
      </c>
      <c r="N329" s="4"/>
      <c r="O329" t="s">
        <v>52</v>
      </c>
      <c r="P329" s="5">
        <v>0.85</v>
      </c>
      <c r="Q329" s="6">
        <v>4400</v>
      </c>
      <c r="R329" s="6">
        <v>4281.38</v>
      </c>
      <c r="S329">
        <v>2</v>
      </c>
      <c r="T329" t="str">
        <f t="shared" si="10"/>
        <v/>
      </c>
      <c r="U329">
        <f>IF(COUNTIFS($B$2:B329,B329,$F$2:F329,F329)=1,1,0)</f>
        <v>0</v>
      </c>
      <c r="V329" s="13">
        <f t="shared" si="11"/>
        <v>118.61999999999989</v>
      </c>
    </row>
    <row r="330" spans="1:22">
      <c r="A330" t="s">
        <v>551</v>
      </c>
      <c r="B330" t="s">
        <v>157</v>
      </c>
      <c r="C330" t="s">
        <v>158</v>
      </c>
      <c r="D330" t="s">
        <v>24</v>
      </c>
      <c r="E330" t="s">
        <v>25</v>
      </c>
      <c r="F330" t="s">
        <v>66</v>
      </c>
      <c r="G330" t="s">
        <v>76</v>
      </c>
      <c r="H330" t="s">
        <v>517</v>
      </c>
      <c r="I330" t="s">
        <v>30</v>
      </c>
      <c r="J330" t="s">
        <v>30</v>
      </c>
      <c r="K330" t="s">
        <v>78</v>
      </c>
      <c r="L330" s="4">
        <v>46064</v>
      </c>
      <c r="M330" s="4">
        <v>46080</v>
      </c>
      <c r="N330" s="4">
        <v>46085</v>
      </c>
      <c r="O330" t="s">
        <v>32</v>
      </c>
      <c r="P330" s="5">
        <v>1</v>
      </c>
      <c r="Q330" s="6">
        <v>18000</v>
      </c>
      <c r="R330" s="6">
        <v>17482.29</v>
      </c>
      <c r="S330">
        <v>1</v>
      </c>
      <c r="T330">
        <f t="shared" si="10"/>
        <v>5</v>
      </c>
      <c r="U330">
        <f>IF(COUNTIFS($B$2:B330,B330,$F$2:F330,F330)=1,1,0)</f>
        <v>0</v>
      </c>
      <c r="V330" s="13">
        <f t="shared" si="11"/>
        <v>517.70999999999913</v>
      </c>
    </row>
    <row r="331" spans="1:22">
      <c r="A331" t="s">
        <v>552</v>
      </c>
      <c r="B331" t="s">
        <v>160</v>
      </c>
      <c r="C331" t="s">
        <v>161</v>
      </c>
      <c r="D331" t="s">
        <v>36</v>
      </c>
      <c r="E331" t="s">
        <v>37</v>
      </c>
      <c r="F331" t="s">
        <v>75</v>
      </c>
      <c r="G331" t="s">
        <v>90</v>
      </c>
      <c r="H331" t="s">
        <v>521</v>
      </c>
      <c r="I331" t="s">
        <v>29</v>
      </c>
      <c r="J331" t="s">
        <v>69</v>
      </c>
      <c r="K331" t="s">
        <v>51</v>
      </c>
      <c r="L331" s="4">
        <v>45999</v>
      </c>
      <c r="M331" s="4">
        <v>46007</v>
      </c>
      <c r="N331" s="4"/>
      <c r="O331" t="s">
        <v>52</v>
      </c>
      <c r="P331" s="5">
        <v>0.9</v>
      </c>
      <c r="Q331" s="6">
        <v>38300</v>
      </c>
      <c r="R331" s="6">
        <v>39953.269999999997</v>
      </c>
      <c r="S331">
        <v>4</v>
      </c>
      <c r="T331" t="str">
        <f t="shared" si="10"/>
        <v/>
      </c>
      <c r="U331">
        <f>IF(COUNTIFS($B$2:B331,B331,$F$2:F331,F331)=1,1,0)</f>
        <v>0</v>
      </c>
      <c r="V331" s="13">
        <f t="shared" si="11"/>
        <v>-1653.2699999999968</v>
      </c>
    </row>
    <row r="332" spans="1:22">
      <c r="A332" t="s">
        <v>553</v>
      </c>
      <c r="B332" t="s">
        <v>22</v>
      </c>
      <c r="C332" t="s">
        <v>23</v>
      </c>
      <c r="D332" t="s">
        <v>24</v>
      </c>
      <c r="E332" t="s">
        <v>25</v>
      </c>
      <c r="F332" t="s">
        <v>26</v>
      </c>
      <c r="G332" t="s">
        <v>95</v>
      </c>
      <c r="H332" t="s">
        <v>554</v>
      </c>
      <c r="I332" t="s">
        <v>86</v>
      </c>
      <c r="J332" t="s">
        <v>30</v>
      </c>
      <c r="K332" t="s">
        <v>31</v>
      </c>
      <c r="L332" s="4">
        <v>46086</v>
      </c>
      <c r="M332" s="4">
        <v>46094</v>
      </c>
      <c r="N332" s="4">
        <v>46082</v>
      </c>
      <c r="O332" t="s">
        <v>32</v>
      </c>
      <c r="P332" s="5">
        <v>1</v>
      </c>
      <c r="Q332" s="6">
        <v>5600</v>
      </c>
      <c r="R332" s="6">
        <v>5328.46</v>
      </c>
      <c r="S332">
        <v>0</v>
      </c>
      <c r="T332">
        <f t="shared" si="10"/>
        <v>0</v>
      </c>
      <c r="U332">
        <f>IF(COUNTIFS($B$2:B332,B332,$F$2:F332,F332)=1,1,0)</f>
        <v>0</v>
      </c>
      <c r="V332" s="13">
        <f t="shared" si="11"/>
        <v>271.53999999999996</v>
      </c>
    </row>
    <row r="333" spans="1:22">
      <c r="A333" t="s">
        <v>555</v>
      </c>
      <c r="B333" t="s">
        <v>34</v>
      </c>
      <c r="C333" t="s">
        <v>35</v>
      </c>
      <c r="D333" t="s">
        <v>36</v>
      </c>
      <c r="E333" t="s">
        <v>37</v>
      </c>
      <c r="F333" t="s">
        <v>38</v>
      </c>
      <c r="G333" t="s">
        <v>27</v>
      </c>
      <c r="H333" t="s">
        <v>556</v>
      </c>
      <c r="I333" t="s">
        <v>29</v>
      </c>
      <c r="J333" t="s">
        <v>30</v>
      </c>
      <c r="K333" t="s">
        <v>178</v>
      </c>
      <c r="L333" s="4">
        <v>45762</v>
      </c>
      <c r="M333" s="4">
        <v>45784</v>
      </c>
      <c r="N333" s="4">
        <v>45781</v>
      </c>
      <c r="O333" t="s">
        <v>32</v>
      </c>
      <c r="P333" s="5">
        <v>1</v>
      </c>
      <c r="Q333" s="6">
        <v>8300</v>
      </c>
      <c r="R333" s="6">
        <v>8964.19</v>
      </c>
      <c r="S333">
        <v>2</v>
      </c>
      <c r="T333">
        <f t="shared" si="10"/>
        <v>0</v>
      </c>
      <c r="U333">
        <f>IF(COUNTIFS($B$2:B333,B333,$F$2:F333,F333)=1,1,0)</f>
        <v>0</v>
      </c>
      <c r="V333" s="13">
        <f t="shared" si="11"/>
        <v>-664.19000000000051</v>
      </c>
    </row>
    <row r="334" spans="1:22">
      <c r="A334" t="s">
        <v>557</v>
      </c>
      <c r="B334" t="s">
        <v>44</v>
      </c>
      <c r="C334" t="s">
        <v>45</v>
      </c>
      <c r="D334" t="s">
        <v>46</v>
      </c>
      <c r="E334" t="s">
        <v>47</v>
      </c>
      <c r="F334" t="s">
        <v>48</v>
      </c>
      <c r="G334" t="s">
        <v>39</v>
      </c>
      <c r="H334" t="s">
        <v>558</v>
      </c>
      <c r="I334" t="s">
        <v>29</v>
      </c>
      <c r="J334" t="s">
        <v>29</v>
      </c>
      <c r="K334" t="s">
        <v>78</v>
      </c>
      <c r="L334" s="4">
        <v>45813</v>
      </c>
      <c r="M334" s="4">
        <v>45824</v>
      </c>
      <c r="N334" s="4">
        <v>45825</v>
      </c>
      <c r="O334" t="s">
        <v>32</v>
      </c>
      <c r="P334" s="5">
        <v>1</v>
      </c>
      <c r="Q334" s="6">
        <v>18600</v>
      </c>
      <c r="R334" s="6">
        <v>19850.349999999999</v>
      </c>
      <c r="S334">
        <v>0</v>
      </c>
      <c r="T334">
        <f t="shared" si="10"/>
        <v>1</v>
      </c>
      <c r="U334">
        <f>IF(COUNTIFS($B$2:B334,B334,$F$2:F334,F334)=1,1,0)</f>
        <v>0</v>
      </c>
      <c r="V334" s="13">
        <f t="shared" si="11"/>
        <v>-1250.3499999999985</v>
      </c>
    </row>
    <row r="335" spans="1:22">
      <c r="A335" t="s">
        <v>559</v>
      </c>
      <c r="B335" t="s">
        <v>54</v>
      </c>
      <c r="C335" t="s">
        <v>55</v>
      </c>
      <c r="D335" t="s">
        <v>56</v>
      </c>
      <c r="E335" t="s">
        <v>57</v>
      </c>
      <c r="F335" t="s">
        <v>58</v>
      </c>
      <c r="G335" t="s">
        <v>49</v>
      </c>
      <c r="H335" t="s">
        <v>560</v>
      </c>
      <c r="I335" t="s">
        <v>30</v>
      </c>
      <c r="J335" t="s">
        <v>30</v>
      </c>
      <c r="K335" t="s">
        <v>31</v>
      </c>
      <c r="L335" s="4">
        <v>46164</v>
      </c>
      <c r="M335" s="4">
        <v>46173</v>
      </c>
      <c r="N335" s="4"/>
      <c r="O335" t="s">
        <v>32</v>
      </c>
      <c r="P335" s="5">
        <v>0</v>
      </c>
      <c r="Q335" s="6">
        <v>10500</v>
      </c>
      <c r="R335" s="6">
        <v>0</v>
      </c>
      <c r="S335">
        <v>0</v>
      </c>
      <c r="T335" t="str">
        <f t="shared" si="10"/>
        <v/>
      </c>
      <c r="U335">
        <f>IF(COUNTIFS($B$2:B335,B335,$F$2:F335,F335)=1,1,0)</f>
        <v>0</v>
      </c>
      <c r="V335" s="13">
        <f t="shared" si="11"/>
        <v>10500</v>
      </c>
    </row>
    <row r="336" spans="1:22">
      <c r="A336" t="s">
        <v>561</v>
      </c>
      <c r="B336" t="s">
        <v>62</v>
      </c>
      <c r="C336" t="s">
        <v>63</v>
      </c>
      <c r="D336" t="s">
        <v>64</v>
      </c>
      <c r="E336" t="s">
        <v>65</v>
      </c>
      <c r="F336" t="s">
        <v>66</v>
      </c>
      <c r="G336" t="s">
        <v>59</v>
      </c>
      <c r="H336" t="s">
        <v>562</v>
      </c>
      <c r="I336" t="s">
        <v>29</v>
      </c>
      <c r="J336" t="s">
        <v>30</v>
      </c>
      <c r="K336" t="s">
        <v>78</v>
      </c>
      <c r="L336" s="4">
        <v>45923</v>
      </c>
      <c r="M336" s="4">
        <v>45941</v>
      </c>
      <c r="N336" s="4">
        <v>45928</v>
      </c>
      <c r="O336" t="s">
        <v>32</v>
      </c>
      <c r="P336" s="5">
        <v>1</v>
      </c>
      <c r="Q336" s="6">
        <v>13000</v>
      </c>
      <c r="R336" s="6">
        <v>12370.27</v>
      </c>
      <c r="S336">
        <v>0</v>
      </c>
      <c r="T336">
        <f t="shared" si="10"/>
        <v>0</v>
      </c>
      <c r="U336">
        <f>IF(COUNTIFS($B$2:B336,B336,$F$2:F336,F336)=1,1,0)</f>
        <v>0</v>
      </c>
      <c r="V336" s="13">
        <f t="shared" si="11"/>
        <v>629.72999999999956</v>
      </c>
    </row>
    <row r="337" spans="1:22">
      <c r="A337" t="s">
        <v>563</v>
      </c>
      <c r="B337" t="s">
        <v>71</v>
      </c>
      <c r="C337" t="s">
        <v>72</v>
      </c>
      <c r="D337" t="s">
        <v>73</v>
      </c>
      <c r="E337" t="s">
        <v>74</v>
      </c>
      <c r="F337" t="s">
        <v>75</v>
      </c>
      <c r="G337" t="s">
        <v>67</v>
      </c>
      <c r="H337" t="s">
        <v>564</v>
      </c>
      <c r="I337" t="s">
        <v>29</v>
      </c>
      <c r="J337" t="s">
        <v>30</v>
      </c>
      <c r="K337" t="s">
        <v>31</v>
      </c>
      <c r="L337" s="4">
        <v>45799</v>
      </c>
      <c r="M337" s="4">
        <v>45810</v>
      </c>
      <c r="N337" s="4"/>
      <c r="O337" t="s">
        <v>32</v>
      </c>
      <c r="P337" s="5">
        <v>0.5</v>
      </c>
      <c r="Q337" s="6">
        <v>11300</v>
      </c>
      <c r="R337" s="6">
        <v>11474.41</v>
      </c>
      <c r="S337">
        <v>2</v>
      </c>
      <c r="T337" t="str">
        <f t="shared" si="10"/>
        <v/>
      </c>
      <c r="U337">
        <f>IF(COUNTIFS($B$2:B337,B337,$F$2:F337,F337)=1,1,0)</f>
        <v>0</v>
      </c>
      <c r="V337" s="13">
        <f t="shared" si="11"/>
        <v>-174.40999999999985</v>
      </c>
    </row>
    <row r="338" spans="1:22">
      <c r="A338" t="s">
        <v>565</v>
      </c>
      <c r="B338" t="s">
        <v>80</v>
      </c>
      <c r="C338" t="s">
        <v>81</v>
      </c>
      <c r="D338" t="s">
        <v>82</v>
      </c>
      <c r="E338" t="s">
        <v>83</v>
      </c>
      <c r="F338" t="s">
        <v>26</v>
      </c>
      <c r="G338" t="s">
        <v>76</v>
      </c>
      <c r="H338" t="s">
        <v>566</v>
      </c>
      <c r="I338" t="s">
        <v>69</v>
      </c>
      <c r="J338" t="s">
        <v>29</v>
      </c>
      <c r="K338" t="s">
        <v>31</v>
      </c>
      <c r="L338" s="4">
        <v>45865</v>
      </c>
      <c r="M338" s="4">
        <v>45893</v>
      </c>
      <c r="N338" s="4">
        <v>45904</v>
      </c>
      <c r="O338" t="s">
        <v>32</v>
      </c>
      <c r="P338" s="5">
        <v>1</v>
      </c>
      <c r="Q338" s="6">
        <v>25600</v>
      </c>
      <c r="R338" s="6">
        <v>25424.01</v>
      </c>
      <c r="S338">
        <v>3</v>
      </c>
      <c r="T338">
        <f t="shared" si="10"/>
        <v>11</v>
      </c>
      <c r="U338">
        <f>IF(COUNTIFS($B$2:B338,B338,$F$2:F338,F338)=1,1,0)</f>
        <v>0</v>
      </c>
      <c r="V338" s="13">
        <f t="shared" si="11"/>
        <v>175.9900000000016</v>
      </c>
    </row>
    <row r="339" spans="1:22">
      <c r="A339" t="s">
        <v>567</v>
      </c>
      <c r="B339" t="s">
        <v>88</v>
      </c>
      <c r="C339" t="s">
        <v>89</v>
      </c>
      <c r="D339" t="s">
        <v>24</v>
      </c>
      <c r="E339" t="s">
        <v>25</v>
      </c>
      <c r="F339" t="s">
        <v>38</v>
      </c>
      <c r="G339" t="s">
        <v>84</v>
      </c>
      <c r="H339" t="s">
        <v>568</v>
      </c>
      <c r="I339" t="s">
        <v>29</v>
      </c>
      <c r="J339" t="s">
        <v>29</v>
      </c>
      <c r="K339" t="s">
        <v>41</v>
      </c>
      <c r="L339" s="4">
        <v>45855</v>
      </c>
      <c r="M339" s="4">
        <v>45876</v>
      </c>
      <c r="N339" s="4">
        <v>45867</v>
      </c>
      <c r="O339" t="s">
        <v>32</v>
      </c>
      <c r="P339" s="5">
        <v>1</v>
      </c>
      <c r="Q339" s="6">
        <v>22200</v>
      </c>
      <c r="R339" s="6">
        <v>27280.82</v>
      </c>
      <c r="S339">
        <v>3</v>
      </c>
      <c r="T339">
        <f t="shared" si="10"/>
        <v>0</v>
      </c>
      <c r="U339">
        <f>IF(COUNTIFS($B$2:B339,B339,$F$2:F339,F339)=1,1,0)</f>
        <v>0</v>
      </c>
      <c r="V339" s="13">
        <f t="shared" si="11"/>
        <v>-5080.82</v>
      </c>
    </row>
    <row r="340" spans="1:22">
      <c r="A340" t="s">
        <v>569</v>
      </c>
      <c r="B340" t="s">
        <v>93</v>
      </c>
      <c r="C340" t="s">
        <v>94</v>
      </c>
      <c r="D340" t="s">
        <v>36</v>
      </c>
      <c r="E340" t="s">
        <v>37</v>
      </c>
      <c r="F340" t="s">
        <v>48</v>
      </c>
      <c r="G340" t="s">
        <v>90</v>
      </c>
      <c r="H340" t="s">
        <v>570</v>
      </c>
      <c r="I340" t="s">
        <v>69</v>
      </c>
      <c r="J340" t="s">
        <v>30</v>
      </c>
      <c r="K340" t="s">
        <v>178</v>
      </c>
      <c r="L340" s="4">
        <v>46186</v>
      </c>
      <c r="M340" s="4">
        <v>46210</v>
      </c>
      <c r="N340" s="4"/>
      <c r="O340" t="s">
        <v>52</v>
      </c>
      <c r="P340" s="5">
        <v>0.2</v>
      </c>
      <c r="Q340" s="6">
        <v>6700</v>
      </c>
      <c r="R340" s="6">
        <v>6854.5</v>
      </c>
      <c r="S340">
        <v>0</v>
      </c>
      <c r="T340" t="str">
        <f t="shared" si="10"/>
        <v/>
      </c>
      <c r="U340">
        <f>IF(COUNTIFS($B$2:B340,B340,$F$2:F340,F340)=1,1,0)</f>
        <v>0</v>
      </c>
      <c r="V340" s="13">
        <f t="shared" si="11"/>
        <v>-154.5</v>
      </c>
    </row>
    <row r="341" spans="1:22">
      <c r="A341" t="s">
        <v>571</v>
      </c>
      <c r="B341" t="s">
        <v>98</v>
      </c>
      <c r="C341" t="s">
        <v>99</v>
      </c>
      <c r="D341" t="s">
        <v>46</v>
      </c>
      <c r="E341" t="s">
        <v>47</v>
      </c>
      <c r="F341" t="s">
        <v>58</v>
      </c>
      <c r="G341" t="s">
        <v>95</v>
      </c>
      <c r="H341" t="s">
        <v>554</v>
      </c>
      <c r="I341" t="s">
        <v>86</v>
      </c>
      <c r="J341" t="s">
        <v>69</v>
      </c>
      <c r="K341" t="s">
        <v>41</v>
      </c>
      <c r="L341" s="4">
        <v>45747</v>
      </c>
      <c r="M341" s="4">
        <v>45751</v>
      </c>
      <c r="N341" s="4"/>
      <c r="O341" t="s">
        <v>52</v>
      </c>
      <c r="P341" s="5">
        <v>0.85</v>
      </c>
      <c r="Q341" s="6">
        <v>20400</v>
      </c>
      <c r="R341" s="6">
        <v>24979.99</v>
      </c>
      <c r="S341">
        <v>3</v>
      </c>
      <c r="T341" t="str">
        <f t="shared" si="10"/>
        <v/>
      </c>
      <c r="U341">
        <f>IF(COUNTIFS($B$2:B341,B341,$F$2:F341,F341)=1,1,0)</f>
        <v>0</v>
      </c>
      <c r="V341" s="13">
        <f t="shared" si="11"/>
        <v>-4579.9900000000016</v>
      </c>
    </row>
    <row r="342" spans="1:22">
      <c r="A342" t="s">
        <v>572</v>
      </c>
      <c r="B342" t="s">
        <v>101</v>
      </c>
      <c r="C342" t="s">
        <v>102</v>
      </c>
      <c r="D342" t="s">
        <v>56</v>
      </c>
      <c r="E342" t="s">
        <v>57</v>
      </c>
      <c r="F342" t="s">
        <v>66</v>
      </c>
      <c r="G342" t="s">
        <v>27</v>
      </c>
      <c r="H342" t="s">
        <v>556</v>
      </c>
      <c r="I342" t="s">
        <v>69</v>
      </c>
      <c r="J342" t="s">
        <v>30</v>
      </c>
      <c r="K342" t="s">
        <v>178</v>
      </c>
      <c r="L342" s="4">
        <v>46026</v>
      </c>
      <c r="M342" s="4">
        <v>46031</v>
      </c>
      <c r="N342" s="4"/>
      <c r="O342" t="s">
        <v>52</v>
      </c>
      <c r="P342" s="5">
        <v>0.6</v>
      </c>
      <c r="Q342" s="6">
        <v>25500</v>
      </c>
      <c r="R342" s="6">
        <v>28119.32</v>
      </c>
      <c r="S342">
        <v>0</v>
      </c>
      <c r="T342" t="str">
        <f t="shared" si="10"/>
        <v/>
      </c>
      <c r="U342">
        <f>IF(COUNTIFS($B$2:B342,B342,$F$2:F342,F342)=1,1,0)</f>
        <v>0</v>
      </c>
      <c r="V342" s="13">
        <f t="shared" si="11"/>
        <v>-2619.3199999999997</v>
      </c>
    </row>
    <row r="343" spans="1:22">
      <c r="A343" t="s">
        <v>573</v>
      </c>
      <c r="B343" t="s">
        <v>104</v>
      </c>
      <c r="C343" t="s">
        <v>105</v>
      </c>
      <c r="D343" t="s">
        <v>64</v>
      </c>
      <c r="E343" t="s">
        <v>65</v>
      </c>
      <c r="F343" t="s">
        <v>75</v>
      </c>
      <c r="G343" t="s">
        <v>39</v>
      </c>
      <c r="H343" t="s">
        <v>558</v>
      </c>
      <c r="I343" t="s">
        <v>86</v>
      </c>
      <c r="J343" t="s">
        <v>30</v>
      </c>
      <c r="K343" t="s">
        <v>78</v>
      </c>
      <c r="L343" s="4">
        <v>46192</v>
      </c>
      <c r="M343" s="4">
        <v>46211</v>
      </c>
      <c r="N343" s="4">
        <v>46216</v>
      </c>
      <c r="O343" t="s">
        <v>32</v>
      </c>
      <c r="P343" s="5">
        <v>1</v>
      </c>
      <c r="Q343" s="6">
        <v>26100</v>
      </c>
      <c r="R343" s="6">
        <v>27683.8</v>
      </c>
      <c r="S343">
        <v>0</v>
      </c>
      <c r="T343">
        <f t="shared" si="10"/>
        <v>5</v>
      </c>
      <c r="U343">
        <f>IF(COUNTIFS($B$2:B343,B343,$F$2:F343,F343)=1,1,0)</f>
        <v>0</v>
      </c>
      <c r="V343" s="13">
        <f t="shared" si="11"/>
        <v>-1583.7999999999993</v>
      </c>
    </row>
    <row r="344" spans="1:22">
      <c r="A344" t="s">
        <v>574</v>
      </c>
      <c r="B344" t="s">
        <v>107</v>
      </c>
      <c r="C344" t="s">
        <v>108</v>
      </c>
      <c r="D344" t="s">
        <v>73</v>
      </c>
      <c r="E344" t="s">
        <v>74</v>
      </c>
      <c r="F344" t="s">
        <v>26</v>
      </c>
      <c r="G344" t="s">
        <v>49</v>
      </c>
      <c r="H344" t="s">
        <v>560</v>
      </c>
      <c r="I344" t="s">
        <v>30</v>
      </c>
      <c r="J344" t="s">
        <v>30</v>
      </c>
      <c r="K344" t="s">
        <v>78</v>
      </c>
      <c r="L344" s="4">
        <v>46015</v>
      </c>
      <c r="M344" s="4">
        <v>46045</v>
      </c>
      <c r="N344" s="4">
        <v>46038</v>
      </c>
      <c r="O344" t="s">
        <v>32</v>
      </c>
      <c r="P344" s="5">
        <v>1</v>
      </c>
      <c r="Q344" s="6">
        <v>16500</v>
      </c>
      <c r="R344" s="6">
        <v>15318.57</v>
      </c>
      <c r="S344">
        <v>2</v>
      </c>
      <c r="T344">
        <f t="shared" si="10"/>
        <v>0</v>
      </c>
      <c r="U344">
        <f>IF(COUNTIFS($B$2:B344,B344,$F$2:F344,F344)=1,1,0)</f>
        <v>0</v>
      </c>
      <c r="V344" s="13">
        <f t="shared" si="11"/>
        <v>1181.4300000000003</v>
      </c>
    </row>
    <row r="345" spans="1:22">
      <c r="A345" t="s">
        <v>575</v>
      </c>
      <c r="B345" t="s">
        <v>111</v>
      </c>
      <c r="C345" t="s">
        <v>112</v>
      </c>
      <c r="D345" t="s">
        <v>82</v>
      </c>
      <c r="E345" t="s">
        <v>83</v>
      </c>
      <c r="F345" t="s">
        <v>38</v>
      </c>
      <c r="G345" t="s">
        <v>59</v>
      </c>
      <c r="H345" t="s">
        <v>562</v>
      </c>
      <c r="I345" t="s">
        <v>29</v>
      </c>
      <c r="J345" t="s">
        <v>29</v>
      </c>
      <c r="K345" t="s">
        <v>31</v>
      </c>
      <c r="L345" s="4">
        <v>45777</v>
      </c>
      <c r="M345" s="4">
        <v>45792</v>
      </c>
      <c r="N345" s="4"/>
      <c r="O345" t="s">
        <v>42</v>
      </c>
      <c r="P345" s="5">
        <v>0</v>
      </c>
      <c r="Q345" s="6">
        <v>28000</v>
      </c>
      <c r="R345" s="6">
        <v>0</v>
      </c>
      <c r="S345">
        <v>1</v>
      </c>
      <c r="T345" t="str">
        <f t="shared" si="10"/>
        <v/>
      </c>
      <c r="U345">
        <f>IF(COUNTIFS($B$2:B345,B345,$F$2:F345,F345)=1,1,0)</f>
        <v>0</v>
      </c>
      <c r="V345" s="13">
        <f t="shared" si="11"/>
        <v>28000</v>
      </c>
    </row>
    <row r="346" spans="1:22">
      <c r="A346" t="s">
        <v>576</v>
      </c>
      <c r="B346" t="s">
        <v>114</v>
      </c>
      <c r="C346" t="s">
        <v>115</v>
      </c>
      <c r="D346" t="s">
        <v>24</v>
      </c>
      <c r="E346" t="s">
        <v>25</v>
      </c>
      <c r="F346" t="s">
        <v>48</v>
      </c>
      <c r="G346" t="s">
        <v>67</v>
      </c>
      <c r="H346" t="s">
        <v>564</v>
      </c>
      <c r="I346" t="s">
        <v>69</v>
      </c>
      <c r="J346" t="s">
        <v>30</v>
      </c>
      <c r="K346" t="s">
        <v>31</v>
      </c>
      <c r="L346" s="4">
        <v>46086</v>
      </c>
      <c r="M346" s="4">
        <v>46097</v>
      </c>
      <c r="N346" s="4">
        <v>46112</v>
      </c>
      <c r="O346" t="s">
        <v>32</v>
      </c>
      <c r="P346" s="5">
        <v>1</v>
      </c>
      <c r="Q346" s="6">
        <v>14700</v>
      </c>
      <c r="R346" s="6">
        <v>15372.06</v>
      </c>
      <c r="S346">
        <v>1</v>
      </c>
      <c r="T346">
        <f t="shared" si="10"/>
        <v>15</v>
      </c>
      <c r="U346">
        <f>IF(COUNTIFS($B$2:B346,B346,$F$2:F346,F346)=1,1,0)</f>
        <v>0</v>
      </c>
      <c r="V346" s="13">
        <f t="shared" si="11"/>
        <v>-672.05999999999949</v>
      </c>
    </row>
    <row r="347" spans="1:22">
      <c r="A347" t="s">
        <v>577</v>
      </c>
      <c r="B347" t="s">
        <v>117</v>
      </c>
      <c r="C347" t="s">
        <v>118</v>
      </c>
      <c r="D347" t="s">
        <v>36</v>
      </c>
      <c r="E347" t="s">
        <v>37</v>
      </c>
      <c r="F347" t="s">
        <v>58</v>
      </c>
      <c r="G347" t="s">
        <v>76</v>
      </c>
      <c r="H347" t="s">
        <v>566</v>
      </c>
      <c r="I347" t="s">
        <v>69</v>
      </c>
      <c r="J347" t="s">
        <v>30</v>
      </c>
      <c r="K347" t="s">
        <v>41</v>
      </c>
      <c r="L347" s="4">
        <v>45913</v>
      </c>
      <c r="M347" s="4">
        <v>45925</v>
      </c>
      <c r="N347" s="4"/>
      <c r="O347" t="s">
        <v>109</v>
      </c>
      <c r="P347" s="5">
        <v>0.5</v>
      </c>
      <c r="Q347" s="6">
        <v>35200</v>
      </c>
      <c r="R347" s="6">
        <v>40326.31</v>
      </c>
      <c r="S347">
        <v>0</v>
      </c>
      <c r="T347" t="str">
        <f t="shared" si="10"/>
        <v/>
      </c>
      <c r="U347">
        <f>IF(COUNTIFS($B$2:B347,B347,$F$2:F347,F347)=1,1,0)</f>
        <v>0</v>
      </c>
      <c r="V347" s="13">
        <f t="shared" si="11"/>
        <v>-5126.3099999999977</v>
      </c>
    </row>
    <row r="348" spans="1:22">
      <c r="A348" t="s">
        <v>578</v>
      </c>
      <c r="B348" t="s">
        <v>120</v>
      </c>
      <c r="C348" t="s">
        <v>121</v>
      </c>
      <c r="D348" t="s">
        <v>46</v>
      </c>
      <c r="E348" t="s">
        <v>47</v>
      </c>
      <c r="F348" t="s">
        <v>66</v>
      </c>
      <c r="G348" t="s">
        <v>84</v>
      </c>
      <c r="H348" t="s">
        <v>568</v>
      </c>
      <c r="I348" t="s">
        <v>69</v>
      </c>
      <c r="J348" t="s">
        <v>30</v>
      </c>
      <c r="K348" t="s">
        <v>31</v>
      </c>
      <c r="L348" s="4">
        <v>45783</v>
      </c>
      <c r="M348" s="4">
        <v>45809</v>
      </c>
      <c r="N348" s="4">
        <v>45821</v>
      </c>
      <c r="O348" t="s">
        <v>32</v>
      </c>
      <c r="P348" s="5">
        <v>1</v>
      </c>
      <c r="Q348" s="6">
        <v>24000</v>
      </c>
      <c r="R348" s="6">
        <v>23849.4</v>
      </c>
      <c r="S348">
        <v>2</v>
      </c>
      <c r="T348">
        <f t="shared" si="10"/>
        <v>12</v>
      </c>
      <c r="U348">
        <f>IF(COUNTIFS($B$2:B348,B348,$F$2:F348,F348)=1,1,0)</f>
        <v>0</v>
      </c>
      <c r="V348" s="13">
        <f t="shared" si="11"/>
        <v>150.59999999999854</v>
      </c>
    </row>
    <row r="349" spans="1:22">
      <c r="A349" t="s">
        <v>579</v>
      </c>
      <c r="B349" t="s">
        <v>123</v>
      </c>
      <c r="C349" t="s">
        <v>124</v>
      </c>
      <c r="D349" t="s">
        <v>56</v>
      </c>
      <c r="E349" t="s">
        <v>57</v>
      </c>
      <c r="F349" t="s">
        <v>75</v>
      </c>
      <c r="G349" t="s">
        <v>90</v>
      </c>
      <c r="H349" t="s">
        <v>570</v>
      </c>
      <c r="I349" t="s">
        <v>69</v>
      </c>
      <c r="J349" t="s">
        <v>30</v>
      </c>
      <c r="K349" t="s">
        <v>78</v>
      </c>
      <c r="L349" s="4">
        <v>45781</v>
      </c>
      <c r="M349" s="4">
        <v>45788</v>
      </c>
      <c r="N349" s="4">
        <v>45781</v>
      </c>
      <c r="O349" t="s">
        <v>32</v>
      </c>
      <c r="P349" s="5">
        <v>1</v>
      </c>
      <c r="Q349" s="6">
        <v>9100</v>
      </c>
      <c r="R349" s="6">
        <v>9084.68</v>
      </c>
      <c r="S349">
        <v>2</v>
      </c>
      <c r="T349">
        <f t="shared" si="10"/>
        <v>0</v>
      </c>
      <c r="U349">
        <f>IF(COUNTIFS($B$2:B349,B349,$F$2:F349,F349)=1,1,0)</f>
        <v>0</v>
      </c>
      <c r="V349" s="13">
        <f t="shared" si="11"/>
        <v>15.319999999999709</v>
      </c>
    </row>
    <row r="350" spans="1:22">
      <c r="A350" t="s">
        <v>580</v>
      </c>
      <c r="B350" t="s">
        <v>126</v>
      </c>
      <c r="C350" t="s">
        <v>127</v>
      </c>
      <c r="D350" t="s">
        <v>64</v>
      </c>
      <c r="E350" t="s">
        <v>65</v>
      </c>
      <c r="F350" t="s">
        <v>26</v>
      </c>
      <c r="G350" t="s">
        <v>95</v>
      </c>
      <c r="H350" t="s">
        <v>554</v>
      </c>
      <c r="I350" t="s">
        <v>30</v>
      </c>
      <c r="J350" t="s">
        <v>30</v>
      </c>
      <c r="K350" t="s">
        <v>31</v>
      </c>
      <c r="L350" s="4">
        <v>45802</v>
      </c>
      <c r="M350" s="4">
        <v>45827</v>
      </c>
      <c r="N350" s="4"/>
      <c r="O350" t="s">
        <v>52</v>
      </c>
      <c r="P350" s="5">
        <v>0.5</v>
      </c>
      <c r="Q350" s="6">
        <v>37300</v>
      </c>
      <c r="R350" s="6">
        <v>36106.080000000002</v>
      </c>
      <c r="S350">
        <v>0</v>
      </c>
      <c r="T350" t="str">
        <f t="shared" si="10"/>
        <v/>
      </c>
      <c r="U350">
        <f>IF(COUNTIFS($B$2:B350,B350,$F$2:F350,F350)=1,1,0)</f>
        <v>0</v>
      </c>
      <c r="V350" s="13">
        <f t="shared" si="11"/>
        <v>1193.9199999999983</v>
      </c>
    </row>
    <row r="351" spans="1:22">
      <c r="A351" t="s">
        <v>581</v>
      </c>
      <c r="B351" t="s">
        <v>129</v>
      </c>
      <c r="C351" t="s">
        <v>130</v>
      </c>
      <c r="D351" t="s">
        <v>73</v>
      </c>
      <c r="E351" t="s">
        <v>74</v>
      </c>
      <c r="F351" t="s">
        <v>38</v>
      </c>
      <c r="G351" t="s">
        <v>27</v>
      </c>
      <c r="H351" t="s">
        <v>556</v>
      </c>
      <c r="I351" t="s">
        <v>29</v>
      </c>
      <c r="J351" t="s">
        <v>30</v>
      </c>
      <c r="K351" t="s">
        <v>31</v>
      </c>
      <c r="L351" s="4">
        <v>45888</v>
      </c>
      <c r="M351" s="4">
        <v>45896</v>
      </c>
      <c r="N351" s="4"/>
      <c r="O351" t="s">
        <v>109</v>
      </c>
      <c r="P351" s="5">
        <v>0.5</v>
      </c>
      <c r="Q351" s="6">
        <v>27000</v>
      </c>
      <c r="R351" s="6">
        <v>27404.13</v>
      </c>
      <c r="S351">
        <v>1</v>
      </c>
      <c r="T351" t="str">
        <f t="shared" si="10"/>
        <v/>
      </c>
      <c r="U351">
        <f>IF(COUNTIFS($B$2:B351,B351,$F$2:F351,F351)=1,1,0)</f>
        <v>0</v>
      </c>
      <c r="V351" s="13">
        <f t="shared" si="11"/>
        <v>-404.13000000000102</v>
      </c>
    </row>
    <row r="352" spans="1:22">
      <c r="A352" t="s">
        <v>582</v>
      </c>
      <c r="B352" t="s">
        <v>132</v>
      </c>
      <c r="C352" t="s">
        <v>133</v>
      </c>
      <c r="D352" t="s">
        <v>82</v>
      </c>
      <c r="E352" t="s">
        <v>83</v>
      </c>
      <c r="F352" t="s">
        <v>48</v>
      </c>
      <c r="G352" t="s">
        <v>39</v>
      </c>
      <c r="H352" t="s">
        <v>558</v>
      </c>
      <c r="I352" t="s">
        <v>69</v>
      </c>
      <c r="J352" t="s">
        <v>29</v>
      </c>
      <c r="K352" t="s">
        <v>78</v>
      </c>
      <c r="L352" s="4">
        <v>45854</v>
      </c>
      <c r="M352" s="4">
        <v>45857</v>
      </c>
      <c r="N352" s="4"/>
      <c r="O352" t="s">
        <v>52</v>
      </c>
      <c r="P352" s="5">
        <v>0.4</v>
      </c>
      <c r="Q352" s="6">
        <v>38600</v>
      </c>
      <c r="R352" s="6">
        <v>41426.949999999997</v>
      </c>
      <c r="S352">
        <v>2</v>
      </c>
      <c r="T352" t="str">
        <f t="shared" si="10"/>
        <v/>
      </c>
      <c r="U352">
        <f>IF(COUNTIFS($B$2:B352,B352,$F$2:F352,F352)=1,1,0)</f>
        <v>0</v>
      </c>
      <c r="V352" s="13">
        <f t="shared" si="11"/>
        <v>-2826.9499999999971</v>
      </c>
    </row>
    <row r="353" spans="1:22">
      <c r="A353" t="s">
        <v>583</v>
      </c>
      <c r="B353" t="s">
        <v>135</v>
      </c>
      <c r="C353" t="s">
        <v>136</v>
      </c>
      <c r="D353" t="s">
        <v>24</v>
      </c>
      <c r="E353" t="s">
        <v>25</v>
      </c>
      <c r="F353" t="s">
        <v>58</v>
      </c>
      <c r="G353" t="s">
        <v>49</v>
      </c>
      <c r="H353" t="s">
        <v>560</v>
      </c>
      <c r="I353" t="s">
        <v>29</v>
      </c>
      <c r="J353" t="s">
        <v>30</v>
      </c>
      <c r="K353" t="s">
        <v>31</v>
      </c>
      <c r="L353" s="4">
        <v>46025</v>
      </c>
      <c r="M353" s="4">
        <v>46044</v>
      </c>
      <c r="N353" s="4"/>
      <c r="O353" t="s">
        <v>42</v>
      </c>
      <c r="P353" s="5">
        <v>0</v>
      </c>
      <c r="Q353" s="6">
        <v>35400</v>
      </c>
      <c r="R353" s="6">
        <v>0</v>
      </c>
      <c r="S353">
        <v>1</v>
      </c>
      <c r="T353" t="str">
        <f t="shared" si="10"/>
        <v/>
      </c>
      <c r="U353">
        <f>IF(COUNTIFS($B$2:B353,B353,$F$2:F353,F353)=1,1,0)</f>
        <v>0</v>
      </c>
      <c r="V353" s="13">
        <f t="shared" si="11"/>
        <v>35400</v>
      </c>
    </row>
    <row r="354" spans="1:22">
      <c r="A354" t="s">
        <v>584</v>
      </c>
      <c r="B354" t="s">
        <v>138</v>
      </c>
      <c r="C354" t="s">
        <v>139</v>
      </c>
      <c r="D354" t="s">
        <v>36</v>
      </c>
      <c r="E354" t="s">
        <v>37</v>
      </c>
      <c r="F354" t="s">
        <v>66</v>
      </c>
      <c r="G354" t="s">
        <v>59</v>
      </c>
      <c r="H354" t="s">
        <v>562</v>
      </c>
      <c r="I354" t="s">
        <v>86</v>
      </c>
      <c r="J354" t="s">
        <v>29</v>
      </c>
      <c r="K354" t="s">
        <v>51</v>
      </c>
      <c r="L354" s="4">
        <v>45973</v>
      </c>
      <c r="M354" s="4">
        <v>45983</v>
      </c>
      <c r="N354" s="4"/>
      <c r="O354" t="s">
        <v>52</v>
      </c>
      <c r="P354" s="5">
        <v>0.9</v>
      </c>
      <c r="Q354" s="6">
        <v>42500</v>
      </c>
      <c r="R354" s="6">
        <v>42728.76</v>
      </c>
      <c r="S354">
        <v>1</v>
      </c>
      <c r="T354" t="str">
        <f t="shared" si="10"/>
        <v/>
      </c>
      <c r="U354">
        <f>IF(COUNTIFS($B$2:B354,B354,$F$2:F354,F354)=1,1,0)</f>
        <v>0</v>
      </c>
      <c r="V354" s="13">
        <f t="shared" si="11"/>
        <v>-228.76000000000204</v>
      </c>
    </row>
    <row r="355" spans="1:22">
      <c r="A355" t="s">
        <v>585</v>
      </c>
      <c r="B355" t="s">
        <v>141</v>
      </c>
      <c r="C355" t="s">
        <v>142</v>
      </c>
      <c r="D355" t="s">
        <v>46</v>
      </c>
      <c r="E355" t="s">
        <v>47</v>
      </c>
      <c r="F355" t="s">
        <v>75</v>
      </c>
      <c r="G355" t="s">
        <v>67</v>
      </c>
      <c r="H355" t="s">
        <v>564</v>
      </c>
      <c r="I355" t="s">
        <v>29</v>
      </c>
      <c r="J355" t="s">
        <v>69</v>
      </c>
      <c r="K355" t="s">
        <v>41</v>
      </c>
      <c r="L355" s="4">
        <v>45793</v>
      </c>
      <c r="M355" s="4">
        <v>45804</v>
      </c>
      <c r="N355" s="4"/>
      <c r="O355" t="s">
        <v>52</v>
      </c>
      <c r="P355" s="5">
        <v>0.5</v>
      </c>
      <c r="Q355" s="6">
        <v>31000</v>
      </c>
      <c r="R355" s="6">
        <v>27955.48</v>
      </c>
      <c r="S355">
        <v>4</v>
      </c>
      <c r="T355" t="str">
        <f t="shared" si="10"/>
        <v/>
      </c>
      <c r="U355">
        <f>IF(COUNTIFS($B$2:B355,B355,$F$2:F355,F355)=1,1,0)</f>
        <v>0</v>
      </c>
      <c r="V355" s="13">
        <f t="shared" si="11"/>
        <v>3044.5200000000004</v>
      </c>
    </row>
    <row r="356" spans="1:22">
      <c r="A356" t="s">
        <v>586</v>
      </c>
      <c r="B356" t="s">
        <v>145</v>
      </c>
      <c r="C356" t="s">
        <v>146</v>
      </c>
      <c r="D356" t="s">
        <v>56</v>
      </c>
      <c r="E356" t="s">
        <v>57</v>
      </c>
      <c r="F356" t="s">
        <v>26</v>
      </c>
      <c r="G356" t="s">
        <v>76</v>
      </c>
      <c r="H356" t="s">
        <v>566</v>
      </c>
      <c r="I356" t="s">
        <v>30</v>
      </c>
      <c r="J356" t="s">
        <v>30</v>
      </c>
      <c r="K356" t="s">
        <v>51</v>
      </c>
      <c r="L356" s="4">
        <v>46045</v>
      </c>
      <c r="M356" s="4">
        <v>46065</v>
      </c>
      <c r="N356" s="4">
        <v>46061</v>
      </c>
      <c r="O356" t="s">
        <v>32</v>
      </c>
      <c r="P356" s="5">
        <v>1</v>
      </c>
      <c r="Q356" s="6">
        <v>28000</v>
      </c>
      <c r="R356" s="6">
        <v>28118.16</v>
      </c>
      <c r="S356">
        <v>2</v>
      </c>
      <c r="T356">
        <f t="shared" si="10"/>
        <v>0</v>
      </c>
      <c r="U356">
        <f>IF(COUNTIFS($B$2:B356,B356,$F$2:F356,F356)=1,1,0)</f>
        <v>0</v>
      </c>
      <c r="V356" s="13">
        <f t="shared" si="11"/>
        <v>-118.15999999999985</v>
      </c>
    </row>
    <row r="357" spans="1:22">
      <c r="A357" t="s">
        <v>587</v>
      </c>
      <c r="B357" t="s">
        <v>148</v>
      </c>
      <c r="C357" t="s">
        <v>149</v>
      </c>
      <c r="D357" t="s">
        <v>64</v>
      </c>
      <c r="E357" t="s">
        <v>65</v>
      </c>
      <c r="F357" t="s">
        <v>38</v>
      </c>
      <c r="G357" t="s">
        <v>84</v>
      </c>
      <c r="H357" t="s">
        <v>568</v>
      </c>
      <c r="I357" t="s">
        <v>30</v>
      </c>
      <c r="J357" t="s">
        <v>69</v>
      </c>
      <c r="K357" t="s">
        <v>51</v>
      </c>
      <c r="L357" s="4">
        <v>45834</v>
      </c>
      <c r="M357" s="4">
        <v>45845</v>
      </c>
      <c r="N357" s="4">
        <v>45857</v>
      </c>
      <c r="O357" t="s">
        <v>32</v>
      </c>
      <c r="P357" s="5">
        <v>1</v>
      </c>
      <c r="Q357" s="6">
        <v>9700</v>
      </c>
      <c r="R357" s="6">
        <v>9920.57</v>
      </c>
      <c r="S357">
        <v>2</v>
      </c>
      <c r="T357">
        <f t="shared" si="10"/>
        <v>12</v>
      </c>
      <c r="U357">
        <f>IF(COUNTIFS($B$2:B357,B357,$F$2:F357,F357)=1,1,0)</f>
        <v>0</v>
      </c>
      <c r="V357" s="13">
        <f t="shared" si="11"/>
        <v>-220.56999999999971</v>
      </c>
    </row>
    <row r="358" spans="1:22">
      <c r="A358" t="s">
        <v>588</v>
      </c>
      <c r="B358" t="s">
        <v>151</v>
      </c>
      <c r="C358" t="s">
        <v>152</v>
      </c>
      <c r="D358" t="s">
        <v>73</v>
      </c>
      <c r="E358" t="s">
        <v>74</v>
      </c>
      <c r="F358" t="s">
        <v>48</v>
      </c>
      <c r="G358" t="s">
        <v>90</v>
      </c>
      <c r="H358" t="s">
        <v>570</v>
      </c>
      <c r="I358" t="s">
        <v>30</v>
      </c>
      <c r="J358" t="s">
        <v>69</v>
      </c>
      <c r="K358" t="s">
        <v>41</v>
      </c>
      <c r="L358" s="4">
        <v>46132</v>
      </c>
      <c r="M358" s="4">
        <v>46156</v>
      </c>
      <c r="N358" s="4"/>
      <c r="O358" t="s">
        <v>52</v>
      </c>
      <c r="P358" s="5">
        <v>0.4</v>
      </c>
      <c r="Q358" s="6">
        <v>32900</v>
      </c>
      <c r="R358" s="6">
        <v>34912.03</v>
      </c>
      <c r="S358">
        <v>0</v>
      </c>
      <c r="T358" t="str">
        <f t="shared" si="10"/>
        <v/>
      </c>
      <c r="U358">
        <f>IF(COUNTIFS($B$2:B358,B358,$F$2:F358,F358)=1,1,0)</f>
        <v>0</v>
      </c>
      <c r="V358" s="13">
        <f t="shared" si="11"/>
        <v>-2012.0299999999988</v>
      </c>
    </row>
    <row r="359" spans="1:22">
      <c r="A359" t="s">
        <v>589</v>
      </c>
      <c r="B359" t="s">
        <v>154</v>
      </c>
      <c r="C359" t="s">
        <v>155</v>
      </c>
      <c r="D359" t="s">
        <v>82</v>
      </c>
      <c r="E359" t="s">
        <v>83</v>
      </c>
      <c r="F359" t="s">
        <v>58</v>
      </c>
      <c r="G359" t="s">
        <v>95</v>
      </c>
      <c r="H359" t="s">
        <v>554</v>
      </c>
      <c r="I359" t="s">
        <v>29</v>
      </c>
      <c r="J359" t="s">
        <v>30</v>
      </c>
      <c r="K359" t="s">
        <v>31</v>
      </c>
      <c r="L359" s="4">
        <v>46004</v>
      </c>
      <c r="M359" s="4">
        <v>46025</v>
      </c>
      <c r="N359" s="4">
        <v>46007</v>
      </c>
      <c r="O359" t="s">
        <v>32</v>
      </c>
      <c r="P359" s="5">
        <v>1</v>
      </c>
      <c r="Q359" s="6">
        <v>26400</v>
      </c>
      <c r="R359" s="6">
        <v>28651.85</v>
      </c>
      <c r="S359">
        <v>3</v>
      </c>
      <c r="T359">
        <f t="shared" si="10"/>
        <v>0</v>
      </c>
      <c r="U359">
        <f>IF(COUNTIFS($B$2:B359,B359,$F$2:F359,F359)=1,1,0)</f>
        <v>0</v>
      </c>
      <c r="V359" s="13">
        <f t="shared" si="11"/>
        <v>-2251.8499999999985</v>
      </c>
    </row>
    <row r="360" spans="1:22">
      <c r="A360" t="s">
        <v>590</v>
      </c>
      <c r="B360" t="s">
        <v>157</v>
      </c>
      <c r="C360" t="s">
        <v>158</v>
      </c>
      <c r="D360" t="s">
        <v>24</v>
      </c>
      <c r="E360" t="s">
        <v>25</v>
      </c>
      <c r="F360" t="s">
        <v>66</v>
      </c>
      <c r="G360" t="s">
        <v>27</v>
      </c>
      <c r="H360" t="s">
        <v>556</v>
      </c>
      <c r="I360" t="s">
        <v>29</v>
      </c>
      <c r="J360" t="s">
        <v>29</v>
      </c>
      <c r="K360" t="s">
        <v>78</v>
      </c>
      <c r="L360" s="4">
        <v>46113</v>
      </c>
      <c r="M360" s="4">
        <v>46132</v>
      </c>
      <c r="N360" s="4"/>
      <c r="O360" t="s">
        <v>52</v>
      </c>
      <c r="P360" s="5">
        <v>0.4</v>
      </c>
      <c r="Q360" s="6">
        <v>38100</v>
      </c>
      <c r="R360" s="6">
        <v>40753.019999999997</v>
      </c>
      <c r="S360">
        <v>1</v>
      </c>
      <c r="T360" t="str">
        <f t="shared" si="10"/>
        <v/>
      </c>
      <c r="U360">
        <f>IF(COUNTIFS($B$2:B360,B360,$F$2:F360,F360)=1,1,0)</f>
        <v>0</v>
      </c>
      <c r="V360" s="13">
        <f t="shared" si="11"/>
        <v>-2653.0199999999968</v>
      </c>
    </row>
    <row r="361" spans="1:22">
      <c r="A361" t="s">
        <v>591</v>
      </c>
      <c r="B361" t="s">
        <v>160</v>
      </c>
      <c r="C361" t="s">
        <v>161</v>
      </c>
      <c r="D361" t="s">
        <v>36</v>
      </c>
      <c r="E361" t="s">
        <v>37</v>
      </c>
      <c r="F361" t="s">
        <v>75</v>
      </c>
      <c r="G361" t="s">
        <v>49</v>
      </c>
      <c r="H361" t="s">
        <v>560</v>
      </c>
      <c r="I361" t="s">
        <v>30</v>
      </c>
      <c r="J361" t="s">
        <v>30</v>
      </c>
      <c r="K361" t="s">
        <v>31</v>
      </c>
      <c r="L361" s="4">
        <v>46085</v>
      </c>
      <c r="M361" s="4">
        <v>46112</v>
      </c>
      <c r="N361" s="4">
        <v>46128</v>
      </c>
      <c r="O361" t="s">
        <v>32</v>
      </c>
      <c r="P361" s="5">
        <v>1</v>
      </c>
      <c r="Q361" s="6">
        <v>30000</v>
      </c>
      <c r="R361" s="6">
        <v>28283.91</v>
      </c>
      <c r="S361">
        <v>1</v>
      </c>
      <c r="T361">
        <f t="shared" si="10"/>
        <v>16</v>
      </c>
      <c r="U361">
        <f>IF(COUNTIFS($B$2:B361,B361,$F$2:F361,F361)=1,1,0)</f>
        <v>0</v>
      </c>
      <c r="V361" s="13">
        <f t="shared" si="11"/>
        <v>1716.0900000000001</v>
      </c>
    </row>
    <row r="362" spans="1:22">
      <c r="A362" t="s">
        <v>592</v>
      </c>
      <c r="B362" t="s">
        <v>22</v>
      </c>
      <c r="C362" t="s">
        <v>23</v>
      </c>
      <c r="D362" t="s">
        <v>24</v>
      </c>
      <c r="E362" t="s">
        <v>25</v>
      </c>
      <c r="F362" t="s">
        <v>26</v>
      </c>
      <c r="G362" t="s">
        <v>59</v>
      </c>
      <c r="H362" t="s">
        <v>593</v>
      </c>
      <c r="I362" t="s">
        <v>69</v>
      </c>
      <c r="J362" t="s">
        <v>30</v>
      </c>
      <c r="K362" t="s">
        <v>41</v>
      </c>
      <c r="L362" s="4">
        <v>46085</v>
      </c>
      <c r="M362" s="4">
        <v>46096</v>
      </c>
      <c r="N362" s="4">
        <v>46103</v>
      </c>
      <c r="O362" t="s">
        <v>32</v>
      </c>
      <c r="P362" s="5">
        <v>1</v>
      </c>
      <c r="Q362" s="6">
        <v>21700</v>
      </c>
      <c r="R362" s="6">
        <v>22719.52</v>
      </c>
      <c r="S362">
        <v>1</v>
      </c>
      <c r="T362">
        <f t="shared" si="10"/>
        <v>7</v>
      </c>
      <c r="U362">
        <f>IF(COUNTIFS($B$2:B362,B362,$F$2:F362,F362)=1,1,0)</f>
        <v>0</v>
      </c>
      <c r="V362" s="13">
        <f t="shared" si="11"/>
        <v>-1019.5200000000004</v>
      </c>
    </row>
    <row r="363" spans="1:22">
      <c r="A363" t="s">
        <v>594</v>
      </c>
      <c r="B363" t="s">
        <v>34</v>
      </c>
      <c r="C363" t="s">
        <v>35</v>
      </c>
      <c r="D363" t="s">
        <v>36</v>
      </c>
      <c r="E363" t="s">
        <v>37</v>
      </c>
      <c r="F363" t="s">
        <v>38</v>
      </c>
      <c r="G363" t="s">
        <v>67</v>
      </c>
      <c r="H363" t="s">
        <v>595</v>
      </c>
      <c r="I363" t="s">
        <v>69</v>
      </c>
      <c r="J363" t="s">
        <v>29</v>
      </c>
      <c r="K363" t="s">
        <v>51</v>
      </c>
      <c r="L363" s="4">
        <v>45840</v>
      </c>
      <c r="M363" s="4">
        <v>45849</v>
      </c>
      <c r="N363" s="4">
        <v>45856</v>
      </c>
      <c r="O363" t="s">
        <v>32</v>
      </c>
      <c r="P363" s="5">
        <v>1</v>
      </c>
      <c r="Q363" s="6">
        <v>14500</v>
      </c>
      <c r="R363" s="6">
        <v>13633.23</v>
      </c>
      <c r="S363">
        <v>4</v>
      </c>
      <c r="T363">
        <f t="shared" si="10"/>
        <v>7</v>
      </c>
      <c r="U363">
        <f>IF(COUNTIFS($B$2:B363,B363,$F$2:F363,F363)=1,1,0)</f>
        <v>0</v>
      </c>
      <c r="V363" s="13">
        <f t="shared" si="11"/>
        <v>866.77000000000044</v>
      </c>
    </row>
    <row r="364" spans="1:22">
      <c r="A364" t="s">
        <v>596</v>
      </c>
      <c r="B364" t="s">
        <v>44</v>
      </c>
      <c r="C364" t="s">
        <v>45</v>
      </c>
      <c r="D364" t="s">
        <v>46</v>
      </c>
      <c r="E364" t="s">
        <v>47</v>
      </c>
      <c r="F364" t="s">
        <v>48</v>
      </c>
      <c r="G364" t="s">
        <v>76</v>
      </c>
      <c r="H364" t="s">
        <v>597</v>
      </c>
      <c r="I364" t="s">
        <v>29</v>
      </c>
      <c r="J364" t="s">
        <v>30</v>
      </c>
      <c r="K364" t="s">
        <v>31</v>
      </c>
      <c r="L364" s="4">
        <v>45820</v>
      </c>
      <c r="M364" s="4">
        <v>45837</v>
      </c>
      <c r="N364" s="4"/>
      <c r="O364" t="s">
        <v>32</v>
      </c>
      <c r="P364" s="5">
        <v>0</v>
      </c>
      <c r="Q364" s="6">
        <v>39000</v>
      </c>
      <c r="R364" s="6">
        <v>0</v>
      </c>
      <c r="S364">
        <v>1</v>
      </c>
      <c r="T364" t="str">
        <f t="shared" si="10"/>
        <v/>
      </c>
      <c r="U364">
        <f>IF(COUNTIFS($B$2:B364,B364,$F$2:F364,F364)=1,1,0)</f>
        <v>0</v>
      </c>
      <c r="V364" s="13">
        <f t="shared" si="11"/>
        <v>39000</v>
      </c>
    </row>
    <row r="365" spans="1:22">
      <c r="A365" t="s">
        <v>598</v>
      </c>
      <c r="B365" t="s">
        <v>54</v>
      </c>
      <c r="C365" t="s">
        <v>55</v>
      </c>
      <c r="D365" t="s">
        <v>56</v>
      </c>
      <c r="E365" t="s">
        <v>57</v>
      </c>
      <c r="F365" t="s">
        <v>58</v>
      </c>
      <c r="G365" t="s">
        <v>84</v>
      </c>
      <c r="H365" t="s">
        <v>599</v>
      </c>
      <c r="I365" t="s">
        <v>29</v>
      </c>
      <c r="J365" t="s">
        <v>69</v>
      </c>
      <c r="K365" t="s">
        <v>31</v>
      </c>
      <c r="L365" s="4">
        <v>46056</v>
      </c>
      <c r="M365" s="4">
        <v>46059</v>
      </c>
      <c r="N365" s="4"/>
      <c r="O365" t="s">
        <v>32</v>
      </c>
      <c r="P365" s="5">
        <v>0.4</v>
      </c>
      <c r="Q365" s="6">
        <v>34600</v>
      </c>
      <c r="R365" s="6">
        <v>38437.230000000003</v>
      </c>
      <c r="S365">
        <v>4</v>
      </c>
      <c r="T365" t="str">
        <f t="shared" si="10"/>
        <v/>
      </c>
      <c r="U365">
        <f>IF(COUNTIFS($B$2:B365,B365,$F$2:F365,F365)=1,1,0)</f>
        <v>0</v>
      </c>
      <c r="V365" s="13">
        <f t="shared" si="11"/>
        <v>-3837.2300000000032</v>
      </c>
    </row>
    <row r="366" spans="1:22">
      <c r="A366" t="s">
        <v>600</v>
      </c>
      <c r="B366" t="s">
        <v>62</v>
      </c>
      <c r="C366" t="s">
        <v>63</v>
      </c>
      <c r="D366" t="s">
        <v>64</v>
      </c>
      <c r="E366" t="s">
        <v>65</v>
      </c>
      <c r="F366" t="s">
        <v>66</v>
      </c>
      <c r="G366" t="s">
        <v>90</v>
      </c>
      <c r="H366" t="s">
        <v>601</v>
      </c>
      <c r="I366" t="s">
        <v>29</v>
      </c>
      <c r="J366" t="s">
        <v>29</v>
      </c>
      <c r="K366" t="s">
        <v>31</v>
      </c>
      <c r="L366" s="4">
        <v>45914</v>
      </c>
      <c r="M366" s="4">
        <v>45937</v>
      </c>
      <c r="N366" s="4"/>
      <c r="O366" t="s">
        <v>32</v>
      </c>
      <c r="P366" s="5">
        <v>0.6</v>
      </c>
      <c r="Q366" s="6">
        <v>43500</v>
      </c>
      <c r="R366" s="6">
        <v>51466.11</v>
      </c>
      <c r="S366">
        <v>1</v>
      </c>
      <c r="T366" t="str">
        <f t="shared" si="10"/>
        <v/>
      </c>
      <c r="U366">
        <f>IF(COUNTIFS($B$2:B366,B366,$F$2:F366,F366)=1,1,0)</f>
        <v>0</v>
      </c>
      <c r="V366" s="13">
        <f t="shared" si="11"/>
        <v>-7966.1100000000006</v>
      </c>
    </row>
    <row r="367" spans="1:22">
      <c r="A367" t="s">
        <v>602</v>
      </c>
      <c r="B367" t="s">
        <v>71</v>
      </c>
      <c r="C367" t="s">
        <v>72</v>
      </c>
      <c r="D367" t="s">
        <v>73</v>
      </c>
      <c r="E367" t="s">
        <v>74</v>
      </c>
      <c r="F367" t="s">
        <v>75</v>
      </c>
      <c r="G367" t="s">
        <v>95</v>
      </c>
      <c r="H367" t="s">
        <v>603</v>
      </c>
      <c r="I367" t="s">
        <v>29</v>
      </c>
      <c r="J367" t="s">
        <v>30</v>
      </c>
      <c r="K367" t="s">
        <v>31</v>
      </c>
      <c r="L367" s="4">
        <v>45870</v>
      </c>
      <c r="M367" s="4">
        <v>45897</v>
      </c>
      <c r="N367" s="4">
        <v>45900</v>
      </c>
      <c r="O367" t="s">
        <v>32</v>
      </c>
      <c r="P367" s="5">
        <v>1</v>
      </c>
      <c r="Q367" s="6">
        <v>9800</v>
      </c>
      <c r="R367" s="6">
        <v>9323.83</v>
      </c>
      <c r="S367">
        <v>0</v>
      </c>
      <c r="T367">
        <f t="shared" si="10"/>
        <v>3</v>
      </c>
      <c r="U367">
        <f>IF(COUNTIFS($B$2:B367,B367,$F$2:F367,F367)=1,1,0)</f>
        <v>0</v>
      </c>
      <c r="V367" s="13">
        <f t="shared" si="11"/>
        <v>476.17000000000007</v>
      </c>
    </row>
    <row r="368" spans="1:22">
      <c r="A368" t="s">
        <v>604</v>
      </c>
      <c r="B368" t="s">
        <v>80</v>
      </c>
      <c r="C368" t="s">
        <v>81</v>
      </c>
      <c r="D368" t="s">
        <v>82</v>
      </c>
      <c r="E368" t="s">
        <v>83</v>
      </c>
      <c r="F368" t="s">
        <v>26</v>
      </c>
      <c r="G368" t="s">
        <v>27</v>
      </c>
      <c r="H368" t="s">
        <v>605</v>
      </c>
      <c r="I368" t="s">
        <v>29</v>
      </c>
      <c r="J368" t="s">
        <v>29</v>
      </c>
      <c r="K368" t="s">
        <v>31</v>
      </c>
      <c r="L368" s="4">
        <v>45810</v>
      </c>
      <c r="M368" s="4">
        <v>45816</v>
      </c>
      <c r="N368" s="4"/>
      <c r="O368" t="s">
        <v>32</v>
      </c>
      <c r="P368" s="5">
        <v>0.75</v>
      </c>
      <c r="Q368" s="6">
        <v>14800</v>
      </c>
      <c r="R368" s="6">
        <v>15552.73</v>
      </c>
      <c r="S368">
        <v>2</v>
      </c>
      <c r="T368" t="str">
        <f t="shared" si="10"/>
        <v/>
      </c>
      <c r="U368">
        <f>IF(COUNTIFS($B$2:B368,B368,$F$2:F368,F368)=1,1,0)</f>
        <v>0</v>
      </c>
      <c r="V368" s="13">
        <f t="shared" si="11"/>
        <v>-752.72999999999956</v>
      </c>
    </row>
    <row r="369" spans="1:22">
      <c r="A369" t="s">
        <v>606</v>
      </c>
      <c r="B369" t="s">
        <v>88</v>
      </c>
      <c r="C369" t="s">
        <v>89</v>
      </c>
      <c r="D369" t="s">
        <v>24</v>
      </c>
      <c r="E369" t="s">
        <v>25</v>
      </c>
      <c r="F369" t="s">
        <v>38</v>
      </c>
      <c r="G369" t="s">
        <v>39</v>
      </c>
      <c r="H369" t="s">
        <v>607</v>
      </c>
      <c r="I369" t="s">
        <v>86</v>
      </c>
      <c r="J369" t="s">
        <v>30</v>
      </c>
      <c r="K369" t="s">
        <v>143</v>
      </c>
      <c r="L369" s="4">
        <v>45868</v>
      </c>
      <c r="M369" s="4">
        <v>45881</v>
      </c>
      <c r="N369" s="4"/>
      <c r="O369" t="s">
        <v>32</v>
      </c>
      <c r="P369" s="5">
        <v>0.85</v>
      </c>
      <c r="Q369" s="6">
        <v>44800</v>
      </c>
      <c r="R369" s="6">
        <v>39859.4</v>
      </c>
      <c r="S369">
        <v>4</v>
      </c>
      <c r="T369" t="str">
        <f t="shared" si="10"/>
        <v/>
      </c>
      <c r="U369">
        <f>IF(COUNTIFS($B$2:B369,B369,$F$2:F369,F369)=1,1,0)</f>
        <v>0</v>
      </c>
      <c r="V369" s="13">
        <f t="shared" si="11"/>
        <v>4940.5999999999985</v>
      </c>
    </row>
    <row r="370" spans="1:22">
      <c r="A370" t="s">
        <v>608</v>
      </c>
      <c r="B370" t="s">
        <v>93</v>
      </c>
      <c r="C370" t="s">
        <v>94</v>
      </c>
      <c r="D370" t="s">
        <v>36</v>
      </c>
      <c r="E370" t="s">
        <v>37</v>
      </c>
      <c r="F370" t="s">
        <v>48</v>
      </c>
      <c r="G370" t="s">
        <v>49</v>
      </c>
      <c r="H370" t="s">
        <v>609</v>
      </c>
      <c r="I370" t="s">
        <v>29</v>
      </c>
      <c r="J370" t="s">
        <v>30</v>
      </c>
      <c r="K370" t="s">
        <v>178</v>
      </c>
      <c r="L370" s="4">
        <v>46143</v>
      </c>
      <c r="M370" s="4">
        <v>46146</v>
      </c>
      <c r="N370" s="4"/>
      <c r="O370" t="s">
        <v>52</v>
      </c>
      <c r="P370" s="5">
        <v>0.85</v>
      </c>
      <c r="Q370" s="6">
        <v>44300</v>
      </c>
      <c r="R370" s="6">
        <v>45433.67</v>
      </c>
      <c r="S370">
        <v>1</v>
      </c>
      <c r="T370" t="str">
        <f t="shared" si="10"/>
        <v/>
      </c>
      <c r="U370">
        <f>IF(COUNTIFS($B$2:B370,B370,$F$2:F370,F370)=1,1,0)</f>
        <v>0</v>
      </c>
      <c r="V370" s="13">
        <f t="shared" si="11"/>
        <v>-1133.6699999999983</v>
      </c>
    </row>
    <row r="371" spans="1:22">
      <c r="A371" t="s">
        <v>610</v>
      </c>
      <c r="B371" t="s">
        <v>98</v>
      </c>
      <c r="C371" t="s">
        <v>99</v>
      </c>
      <c r="D371" t="s">
        <v>46</v>
      </c>
      <c r="E371" t="s">
        <v>47</v>
      </c>
      <c r="F371" t="s">
        <v>58</v>
      </c>
      <c r="G371" t="s">
        <v>59</v>
      </c>
      <c r="H371" t="s">
        <v>593</v>
      </c>
      <c r="I371" t="s">
        <v>29</v>
      </c>
      <c r="J371" t="s">
        <v>30</v>
      </c>
      <c r="K371" t="s">
        <v>78</v>
      </c>
      <c r="L371" s="4">
        <v>45724</v>
      </c>
      <c r="M371" s="4">
        <v>45739</v>
      </c>
      <c r="N371" s="4">
        <v>45741</v>
      </c>
      <c r="O371" t="s">
        <v>32</v>
      </c>
      <c r="P371" s="5">
        <v>1</v>
      </c>
      <c r="Q371" s="6">
        <v>3600</v>
      </c>
      <c r="R371" s="6">
        <v>4161.55</v>
      </c>
      <c r="S371">
        <v>3</v>
      </c>
      <c r="T371">
        <f t="shared" si="10"/>
        <v>2</v>
      </c>
      <c r="U371">
        <f>IF(COUNTIFS($B$2:B371,B371,$F$2:F371,F371)=1,1,0)</f>
        <v>0</v>
      </c>
      <c r="V371" s="13">
        <f t="shared" si="11"/>
        <v>-561.55000000000018</v>
      </c>
    </row>
    <row r="372" spans="1:22">
      <c r="A372" t="s">
        <v>611</v>
      </c>
      <c r="B372" t="s">
        <v>101</v>
      </c>
      <c r="C372" t="s">
        <v>102</v>
      </c>
      <c r="D372" t="s">
        <v>56</v>
      </c>
      <c r="E372" t="s">
        <v>57</v>
      </c>
      <c r="F372" t="s">
        <v>66</v>
      </c>
      <c r="G372" t="s">
        <v>67</v>
      </c>
      <c r="H372" t="s">
        <v>595</v>
      </c>
      <c r="I372" t="s">
        <v>69</v>
      </c>
      <c r="J372" t="s">
        <v>30</v>
      </c>
      <c r="K372" t="s">
        <v>78</v>
      </c>
      <c r="L372" s="4">
        <v>46115</v>
      </c>
      <c r="M372" s="4">
        <v>46132</v>
      </c>
      <c r="N372" s="4"/>
      <c r="O372" t="s">
        <v>52</v>
      </c>
      <c r="P372" s="5">
        <v>0.75</v>
      </c>
      <c r="Q372" s="6">
        <v>12500</v>
      </c>
      <c r="R372" s="6">
        <v>12682.32</v>
      </c>
      <c r="S372">
        <v>1</v>
      </c>
      <c r="T372" t="str">
        <f t="shared" si="10"/>
        <v/>
      </c>
      <c r="U372">
        <f>IF(COUNTIFS($B$2:B372,B372,$F$2:F372,F372)=1,1,0)</f>
        <v>0</v>
      </c>
      <c r="V372" s="13">
        <f t="shared" si="11"/>
        <v>-182.31999999999971</v>
      </c>
    </row>
    <row r="373" spans="1:22">
      <c r="A373" t="s">
        <v>612</v>
      </c>
      <c r="B373" t="s">
        <v>104</v>
      </c>
      <c r="C373" t="s">
        <v>105</v>
      </c>
      <c r="D373" t="s">
        <v>64</v>
      </c>
      <c r="E373" t="s">
        <v>65</v>
      </c>
      <c r="F373" t="s">
        <v>75</v>
      </c>
      <c r="G373" t="s">
        <v>76</v>
      </c>
      <c r="H373" t="s">
        <v>597</v>
      </c>
      <c r="I373" t="s">
        <v>69</v>
      </c>
      <c r="J373" t="s">
        <v>30</v>
      </c>
      <c r="K373" t="s">
        <v>31</v>
      </c>
      <c r="L373" s="4">
        <v>46067</v>
      </c>
      <c r="M373" s="4">
        <v>46091</v>
      </c>
      <c r="N373" s="4">
        <v>46088</v>
      </c>
      <c r="O373" t="s">
        <v>32</v>
      </c>
      <c r="P373" s="5">
        <v>1</v>
      </c>
      <c r="Q373" s="6">
        <v>28600</v>
      </c>
      <c r="R373" s="6">
        <v>28173.4</v>
      </c>
      <c r="S373">
        <v>0</v>
      </c>
      <c r="T373">
        <f t="shared" si="10"/>
        <v>0</v>
      </c>
      <c r="U373">
        <f>IF(COUNTIFS($B$2:B373,B373,$F$2:F373,F373)=1,1,0)</f>
        <v>0</v>
      </c>
      <c r="V373" s="13">
        <f t="shared" si="11"/>
        <v>426.59999999999854</v>
      </c>
    </row>
    <row r="374" spans="1:22">
      <c r="A374" t="s">
        <v>613</v>
      </c>
      <c r="B374" t="s">
        <v>107</v>
      </c>
      <c r="C374" t="s">
        <v>108</v>
      </c>
      <c r="D374" t="s">
        <v>73</v>
      </c>
      <c r="E374" t="s">
        <v>74</v>
      </c>
      <c r="F374" t="s">
        <v>26</v>
      </c>
      <c r="G374" t="s">
        <v>84</v>
      </c>
      <c r="H374" t="s">
        <v>599</v>
      </c>
      <c r="I374" t="s">
        <v>69</v>
      </c>
      <c r="J374" t="s">
        <v>30</v>
      </c>
      <c r="K374" t="s">
        <v>51</v>
      </c>
      <c r="L374" s="4">
        <v>46014</v>
      </c>
      <c r="M374" s="4">
        <v>46020</v>
      </c>
      <c r="N374" s="4">
        <v>46012</v>
      </c>
      <c r="O374" t="s">
        <v>32</v>
      </c>
      <c r="P374" s="5">
        <v>1</v>
      </c>
      <c r="Q374" s="6">
        <v>35300</v>
      </c>
      <c r="R374" s="6">
        <v>36081.589999999997</v>
      </c>
      <c r="S374">
        <v>3</v>
      </c>
      <c r="T374">
        <f t="shared" si="10"/>
        <v>0</v>
      </c>
      <c r="U374">
        <f>IF(COUNTIFS($B$2:B374,B374,$F$2:F374,F374)=1,1,0)</f>
        <v>0</v>
      </c>
      <c r="V374" s="13">
        <f t="shared" si="11"/>
        <v>-781.58999999999651</v>
      </c>
    </row>
    <row r="375" spans="1:22">
      <c r="A375" t="s">
        <v>614</v>
      </c>
      <c r="B375" t="s">
        <v>111</v>
      </c>
      <c r="C375" t="s">
        <v>112</v>
      </c>
      <c r="D375" t="s">
        <v>82</v>
      </c>
      <c r="E375" t="s">
        <v>83</v>
      </c>
      <c r="F375" t="s">
        <v>38</v>
      </c>
      <c r="G375" t="s">
        <v>90</v>
      </c>
      <c r="H375" t="s">
        <v>601</v>
      </c>
      <c r="I375" t="s">
        <v>29</v>
      </c>
      <c r="J375" t="s">
        <v>30</v>
      </c>
      <c r="K375" t="s">
        <v>31</v>
      </c>
      <c r="L375" s="4">
        <v>45847</v>
      </c>
      <c r="M375" s="4">
        <v>45865</v>
      </c>
      <c r="N375" s="4">
        <v>45851</v>
      </c>
      <c r="O375" t="s">
        <v>32</v>
      </c>
      <c r="P375" s="5">
        <v>1</v>
      </c>
      <c r="Q375" s="6">
        <v>31400</v>
      </c>
      <c r="R375" s="6">
        <v>29521.49</v>
      </c>
      <c r="S375">
        <v>1</v>
      </c>
      <c r="T375">
        <f t="shared" si="10"/>
        <v>0</v>
      </c>
      <c r="U375">
        <f>IF(COUNTIFS($B$2:B375,B375,$F$2:F375,F375)=1,1,0)</f>
        <v>0</v>
      </c>
      <c r="V375" s="13">
        <f t="shared" si="11"/>
        <v>1878.5099999999984</v>
      </c>
    </row>
    <row r="376" spans="1:22">
      <c r="A376" t="s">
        <v>615</v>
      </c>
      <c r="B376" t="s">
        <v>114</v>
      </c>
      <c r="C376" t="s">
        <v>115</v>
      </c>
      <c r="D376" t="s">
        <v>24</v>
      </c>
      <c r="E376" t="s">
        <v>25</v>
      </c>
      <c r="F376" t="s">
        <v>48</v>
      </c>
      <c r="G376" t="s">
        <v>95</v>
      </c>
      <c r="H376" t="s">
        <v>603</v>
      </c>
      <c r="I376" t="s">
        <v>30</v>
      </c>
      <c r="J376" t="s">
        <v>30</v>
      </c>
      <c r="K376" t="s">
        <v>31</v>
      </c>
      <c r="L376" s="4">
        <v>46111</v>
      </c>
      <c r="M376" s="4">
        <v>46135</v>
      </c>
      <c r="N376" s="4">
        <v>46149</v>
      </c>
      <c r="O376" t="s">
        <v>32</v>
      </c>
      <c r="P376" s="5">
        <v>1</v>
      </c>
      <c r="Q376" s="6">
        <v>4800</v>
      </c>
      <c r="R376" s="6">
        <v>4609.2299999999996</v>
      </c>
      <c r="S376">
        <v>1</v>
      </c>
      <c r="T376">
        <f t="shared" si="10"/>
        <v>14</v>
      </c>
      <c r="U376">
        <f>IF(COUNTIFS($B$2:B376,B376,$F$2:F376,F376)=1,1,0)</f>
        <v>0</v>
      </c>
      <c r="V376" s="13">
        <f t="shared" si="11"/>
        <v>190.77000000000044</v>
      </c>
    </row>
    <row r="377" spans="1:22">
      <c r="A377" t="s">
        <v>616</v>
      </c>
      <c r="B377" t="s">
        <v>117</v>
      </c>
      <c r="C377" t="s">
        <v>118</v>
      </c>
      <c r="D377" t="s">
        <v>36</v>
      </c>
      <c r="E377" t="s">
        <v>37</v>
      </c>
      <c r="F377" t="s">
        <v>58</v>
      </c>
      <c r="G377" t="s">
        <v>27</v>
      </c>
      <c r="H377" t="s">
        <v>605</v>
      </c>
      <c r="I377" t="s">
        <v>69</v>
      </c>
      <c r="J377" t="s">
        <v>30</v>
      </c>
      <c r="K377" t="s">
        <v>178</v>
      </c>
      <c r="L377" s="4">
        <v>45946</v>
      </c>
      <c r="M377" s="4">
        <v>45963</v>
      </c>
      <c r="N377" s="4"/>
      <c r="O377" t="s">
        <v>42</v>
      </c>
      <c r="P377" s="5">
        <v>0</v>
      </c>
      <c r="Q377" s="6">
        <v>36900</v>
      </c>
      <c r="R377" s="6">
        <v>0</v>
      </c>
      <c r="S377">
        <v>3</v>
      </c>
      <c r="T377" t="str">
        <f t="shared" si="10"/>
        <v/>
      </c>
      <c r="U377">
        <f>IF(COUNTIFS($B$2:B377,B377,$F$2:F377,F377)=1,1,0)</f>
        <v>0</v>
      </c>
      <c r="V377" s="13">
        <f t="shared" si="11"/>
        <v>36900</v>
      </c>
    </row>
    <row r="378" spans="1:22">
      <c r="A378" t="s">
        <v>617</v>
      </c>
      <c r="B378" t="s">
        <v>120</v>
      </c>
      <c r="C378" t="s">
        <v>121</v>
      </c>
      <c r="D378" t="s">
        <v>46</v>
      </c>
      <c r="E378" t="s">
        <v>47</v>
      </c>
      <c r="F378" t="s">
        <v>66</v>
      </c>
      <c r="G378" t="s">
        <v>39</v>
      </c>
      <c r="H378" t="s">
        <v>607</v>
      </c>
      <c r="I378" t="s">
        <v>29</v>
      </c>
      <c r="J378" t="s">
        <v>29</v>
      </c>
      <c r="K378" t="s">
        <v>31</v>
      </c>
      <c r="L378" s="4">
        <v>45708</v>
      </c>
      <c r="M378" s="4">
        <v>45714</v>
      </c>
      <c r="N378" s="4">
        <v>45706</v>
      </c>
      <c r="O378" t="s">
        <v>32</v>
      </c>
      <c r="P378" s="5">
        <v>1</v>
      </c>
      <c r="Q378" s="6">
        <v>40200</v>
      </c>
      <c r="R378" s="6">
        <v>43413.14</v>
      </c>
      <c r="S378">
        <v>2</v>
      </c>
      <c r="T378">
        <f t="shared" si="10"/>
        <v>0</v>
      </c>
      <c r="U378">
        <f>IF(COUNTIFS($B$2:B378,B378,$F$2:F378,F378)=1,1,0)</f>
        <v>0</v>
      </c>
      <c r="V378" s="13">
        <f t="shared" si="11"/>
        <v>-3213.1399999999994</v>
      </c>
    </row>
    <row r="379" spans="1:22">
      <c r="A379" t="s">
        <v>618</v>
      </c>
      <c r="B379" t="s">
        <v>123</v>
      </c>
      <c r="C379" t="s">
        <v>124</v>
      </c>
      <c r="D379" t="s">
        <v>56</v>
      </c>
      <c r="E379" t="s">
        <v>57</v>
      </c>
      <c r="F379" t="s">
        <v>75</v>
      </c>
      <c r="G379" t="s">
        <v>49</v>
      </c>
      <c r="H379" t="s">
        <v>609</v>
      </c>
      <c r="I379" t="s">
        <v>69</v>
      </c>
      <c r="J379" t="s">
        <v>30</v>
      </c>
      <c r="K379" t="s">
        <v>178</v>
      </c>
      <c r="L379" s="4">
        <v>45746</v>
      </c>
      <c r="M379" s="4">
        <v>45772</v>
      </c>
      <c r="N379" s="4"/>
      <c r="O379" t="s">
        <v>42</v>
      </c>
      <c r="P379" s="5">
        <v>0</v>
      </c>
      <c r="Q379" s="6">
        <v>37000</v>
      </c>
      <c r="R379" s="6">
        <v>0</v>
      </c>
      <c r="S379">
        <v>2</v>
      </c>
      <c r="T379" t="str">
        <f t="shared" si="10"/>
        <v/>
      </c>
      <c r="U379">
        <f>IF(COUNTIFS($B$2:B379,B379,$F$2:F379,F379)=1,1,0)</f>
        <v>0</v>
      </c>
      <c r="V379" s="13">
        <f t="shared" si="11"/>
        <v>37000</v>
      </c>
    </row>
    <row r="380" spans="1:22">
      <c r="A380" t="s">
        <v>619</v>
      </c>
      <c r="B380" t="s">
        <v>126</v>
      </c>
      <c r="C380" t="s">
        <v>127</v>
      </c>
      <c r="D380" t="s">
        <v>64</v>
      </c>
      <c r="E380" t="s">
        <v>65</v>
      </c>
      <c r="F380" t="s">
        <v>26</v>
      </c>
      <c r="G380" t="s">
        <v>59</v>
      </c>
      <c r="H380" t="s">
        <v>593</v>
      </c>
      <c r="I380" t="s">
        <v>86</v>
      </c>
      <c r="J380" t="s">
        <v>30</v>
      </c>
      <c r="K380" t="s">
        <v>31</v>
      </c>
      <c r="L380" s="4">
        <v>45832</v>
      </c>
      <c r="M380" s="4">
        <v>45860</v>
      </c>
      <c r="N380" s="4"/>
      <c r="O380" t="s">
        <v>52</v>
      </c>
      <c r="P380" s="5">
        <v>0.9</v>
      </c>
      <c r="Q380" s="6">
        <v>8800</v>
      </c>
      <c r="R380" s="6">
        <v>10024.82</v>
      </c>
      <c r="S380">
        <v>3</v>
      </c>
      <c r="T380" t="str">
        <f t="shared" si="10"/>
        <v/>
      </c>
      <c r="U380">
        <f>IF(COUNTIFS($B$2:B380,B380,$F$2:F380,F380)=1,1,0)</f>
        <v>0</v>
      </c>
      <c r="V380" s="13">
        <f t="shared" si="11"/>
        <v>-1224.8199999999997</v>
      </c>
    </row>
    <row r="381" spans="1:22">
      <c r="A381" t="s">
        <v>620</v>
      </c>
      <c r="B381" t="s">
        <v>129</v>
      </c>
      <c r="C381" t="s">
        <v>130</v>
      </c>
      <c r="D381" t="s">
        <v>73</v>
      </c>
      <c r="E381" t="s">
        <v>74</v>
      </c>
      <c r="F381" t="s">
        <v>38</v>
      </c>
      <c r="G381" t="s">
        <v>67</v>
      </c>
      <c r="H381" t="s">
        <v>595</v>
      </c>
      <c r="I381" t="s">
        <v>86</v>
      </c>
      <c r="J381" t="s">
        <v>29</v>
      </c>
      <c r="K381" t="s">
        <v>31</v>
      </c>
      <c r="L381" s="4">
        <v>45897</v>
      </c>
      <c r="M381" s="4">
        <v>45925</v>
      </c>
      <c r="N381" s="4">
        <v>45918</v>
      </c>
      <c r="O381" t="s">
        <v>32</v>
      </c>
      <c r="P381" s="5">
        <v>1</v>
      </c>
      <c r="Q381" s="6">
        <v>35400</v>
      </c>
      <c r="R381" s="6">
        <v>38136.04</v>
      </c>
      <c r="S381">
        <v>0</v>
      </c>
      <c r="T381">
        <f t="shared" si="10"/>
        <v>0</v>
      </c>
      <c r="U381">
        <f>IF(COUNTIFS($B$2:B381,B381,$F$2:F381,F381)=1,1,0)</f>
        <v>0</v>
      </c>
      <c r="V381" s="13">
        <f t="shared" si="11"/>
        <v>-2736.0400000000009</v>
      </c>
    </row>
    <row r="382" spans="1:22">
      <c r="A382" t="s">
        <v>621</v>
      </c>
      <c r="B382" t="s">
        <v>132</v>
      </c>
      <c r="C382" t="s">
        <v>133</v>
      </c>
      <c r="D382" t="s">
        <v>82</v>
      </c>
      <c r="E382" t="s">
        <v>83</v>
      </c>
      <c r="F382" t="s">
        <v>48</v>
      </c>
      <c r="G382" t="s">
        <v>76</v>
      </c>
      <c r="H382" t="s">
        <v>597</v>
      </c>
      <c r="I382" t="s">
        <v>69</v>
      </c>
      <c r="J382" t="s">
        <v>29</v>
      </c>
      <c r="K382" t="s">
        <v>178</v>
      </c>
      <c r="L382" s="4">
        <v>45905</v>
      </c>
      <c r="M382" s="4">
        <v>45923</v>
      </c>
      <c r="N382" s="4"/>
      <c r="O382" t="s">
        <v>42</v>
      </c>
      <c r="P382" s="5">
        <v>0</v>
      </c>
      <c r="Q382" s="6">
        <v>19400</v>
      </c>
      <c r="R382" s="6">
        <v>0</v>
      </c>
      <c r="S382">
        <v>3</v>
      </c>
      <c r="T382" t="str">
        <f t="shared" si="10"/>
        <v/>
      </c>
      <c r="U382">
        <f>IF(COUNTIFS($B$2:B382,B382,$F$2:F382,F382)=1,1,0)</f>
        <v>0</v>
      </c>
      <c r="V382" s="13">
        <f t="shared" si="11"/>
        <v>19400</v>
      </c>
    </row>
    <row r="383" spans="1:22">
      <c r="A383" t="s">
        <v>622</v>
      </c>
      <c r="B383" t="s">
        <v>135</v>
      </c>
      <c r="C383" t="s">
        <v>136</v>
      </c>
      <c r="D383" t="s">
        <v>24</v>
      </c>
      <c r="E383" t="s">
        <v>25</v>
      </c>
      <c r="F383" t="s">
        <v>58</v>
      </c>
      <c r="G383" t="s">
        <v>84</v>
      </c>
      <c r="H383" t="s">
        <v>599</v>
      </c>
      <c r="I383" t="s">
        <v>29</v>
      </c>
      <c r="J383" t="s">
        <v>29</v>
      </c>
      <c r="K383" t="s">
        <v>78</v>
      </c>
      <c r="L383" s="4">
        <v>46068</v>
      </c>
      <c r="M383" s="4">
        <v>46094</v>
      </c>
      <c r="N383" s="4">
        <v>46098</v>
      </c>
      <c r="O383" t="s">
        <v>32</v>
      </c>
      <c r="P383" s="5">
        <v>1</v>
      </c>
      <c r="Q383" s="6">
        <v>44000</v>
      </c>
      <c r="R383" s="6">
        <v>42757.23</v>
      </c>
      <c r="S383">
        <v>1</v>
      </c>
      <c r="T383">
        <f t="shared" si="10"/>
        <v>4</v>
      </c>
      <c r="U383">
        <f>IF(COUNTIFS($B$2:B383,B383,$F$2:F383,F383)=1,1,0)</f>
        <v>0</v>
      </c>
      <c r="V383" s="13">
        <f t="shared" si="11"/>
        <v>1242.7699999999968</v>
      </c>
    </row>
    <row r="384" spans="1:22">
      <c r="A384" t="s">
        <v>623</v>
      </c>
      <c r="B384" t="s">
        <v>138</v>
      </c>
      <c r="C384" t="s">
        <v>139</v>
      </c>
      <c r="D384" t="s">
        <v>36</v>
      </c>
      <c r="E384" t="s">
        <v>37</v>
      </c>
      <c r="F384" t="s">
        <v>66</v>
      </c>
      <c r="G384" t="s">
        <v>90</v>
      </c>
      <c r="H384" t="s">
        <v>601</v>
      </c>
      <c r="I384" t="s">
        <v>29</v>
      </c>
      <c r="J384" t="s">
        <v>29</v>
      </c>
      <c r="K384" t="s">
        <v>31</v>
      </c>
      <c r="L384" s="4">
        <v>46034</v>
      </c>
      <c r="M384" s="4">
        <v>46052</v>
      </c>
      <c r="N384" s="4"/>
      <c r="O384" t="s">
        <v>52</v>
      </c>
      <c r="P384" s="5">
        <v>0.85</v>
      </c>
      <c r="Q384" s="6">
        <v>29400</v>
      </c>
      <c r="R384" s="6">
        <v>33586.76</v>
      </c>
      <c r="S384">
        <v>4</v>
      </c>
      <c r="T384" t="str">
        <f t="shared" si="10"/>
        <v/>
      </c>
      <c r="U384">
        <f>IF(COUNTIFS($B$2:B384,B384,$F$2:F384,F384)=1,1,0)</f>
        <v>0</v>
      </c>
      <c r="V384" s="13">
        <f t="shared" si="11"/>
        <v>-4186.760000000002</v>
      </c>
    </row>
    <row r="385" spans="1:22">
      <c r="A385" t="s">
        <v>624</v>
      </c>
      <c r="B385" t="s">
        <v>141</v>
      </c>
      <c r="C385" t="s">
        <v>142</v>
      </c>
      <c r="D385" t="s">
        <v>46</v>
      </c>
      <c r="E385" t="s">
        <v>47</v>
      </c>
      <c r="F385" t="s">
        <v>75</v>
      </c>
      <c r="G385" t="s">
        <v>95</v>
      </c>
      <c r="H385" t="s">
        <v>603</v>
      </c>
      <c r="I385" t="s">
        <v>69</v>
      </c>
      <c r="J385" t="s">
        <v>29</v>
      </c>
      <c r="K385" t="s">
        <v>31</v>
      </c>
      <c r="L385" s="4">
        <v>45716</v>
      </c>
      <c r="M385" s="4">
        <v>45735</v>
      </c>
      <c r="N385" s="4">
        <v>45745</v>
      </c>
      <c r="O385" t="s">
        <v>32</v>
      </c>
      <c r="P385" s="5">
        <v>1</v>
      </c>
      <c r="Q385" s="6">
        <v>4800</v>
      </c>
      <c r="R385" s="6">
        <v>4041.5</v>
      </c>
      <c r="S385">
        <v>1</v>
      </c>
      <c r="T385">
        <f t="shared" si="10"/>
        <v>10</v>
      </c>
      <c r="U385">
        <f>IF(COUNTIFS($B$2:B385,B385,$F$2:F385,F385)=1,1,0)</f>
        <v>0</v>
      </c>
      <c r="V385" s="13">
        <f t="shared" si="11"/>
        <v>758.5</v>
      </c>
    </row>
    <row r="386" spans="1:22">
      <c r="A386" t="s">
        <v>625</v>
      </c>
      <c r="B386" t="s">
        <v>145</v>
      </c>
      <c r="C386" t="s">
        <v>146</v>
      </c>
      <c r="D386" t="s">
        <v>56</v>
      </c>
      <c r="E386" t="s">
        <v>57</v>
      </c>
      <c r="F386" t="s">
        <v>26</v>
      </c>
      <c r="G386" t="s">
        <v>27</v>
      </c>
      <c r="H386" t="s">
        <v>605</v>
      </c>
      <c r="I386" t="s">
        <v>86</v>
      </c>
      <c r="J386" t="s">
        <v>30</v>
      </c>
      <c r="K386" t="s">
        <v>31</v>
      </c>
      <c r="L386" s="4">
        <v>46046</v>
      </c>
      <c r="M386" s="4">
        <v>46061</v>
      </c>
      <c r="N386" s="4">
        <v>46063</v>
      </c>
      <c r="O386" t="s">
        <v>32</v>
      </c>
      <c r="P386" s="5">
        <v>1</v>
      </c>
      <c r="Q386" s="6">
        <v>4900</v>
      </c>
      <c r="R386" s="6">
        <v>4337.59</v>
      </c>
      <c r="S386">
        <v>2</v>
      </c>
      <c r="T386">
        <f t="shared" ref="T386:T449" si="12">IF(N386="","",MAX(0,N386-M386))</f>
        <v>2</v>
      </c>
      <c r="U386">
        <f>IF(COUNTIFS($B$2:B386,B386,$F$2:F386,F386)=1,1,0)</f>
        <v>0</v>
      </c>
      <c r="V386" s="13">
        <f t="shared" ref="V386:V449" si="13">Q386-R386</f>
        <v>562.40999999999985</v>
      </c>
    </row>
    <row r="387" spans="1:22">
      <c r="A387" t="s">
        <v>626</v>
      </c>
      <c r="B387" t="s">
        <v>148</v>
      </c>
      <c r="C387" t="s">
        <v>149</v>
      </c>
      <c r="D387" t="s">
        <v>64</v>
      </c>
      <c r="E387" t="s">
        <v>65</v>
      </c>
      <c r="F387" t="s">
        <v>38</v>
      </c>
      <c r="G387" t="s">
        <v>39</v>
      </c>
      <c r="H387" t="s">
        <v>607</v>
      </c>
      <c r="I387" t="s">
        <v>30</v>
      </c>
      <c r="J387" t="s">
        <v>30</v>
      </c>
      <c r="K387" t="s">
        <v>31</v>
      </c>
      <c r="L387" s="4">
        <v>45891</v>
      </c>
      <c r="M387" s="4">
        <v>45917</v>
      </c>
      <c r="N387" s="4">
        <v>45925</v>
      </c>
      <c r="O387" t="s">
        <v>32</v>
      </c>
      <c r="P387" s="5">
        <v>1</v>
      </c>
      <c r="Q387" s="6">
        <v>25700</v>
      </c>
      <c r="R387" s="6">
        <v>27966.31</v>
      </c>
      <c r="S387">
        <v>2</v>
      </c>
      <c r="T387">
        <f t="shared" si="12"/>
        <v>8</v>
      </c>
      <c r="U387">
        <f>IF(COUNTIFS($B$2:B387,B387,$F$2:F387,F387)=1,1,0)</f>
        <v>0</v>
      </c>
      <c r="V387" s="13">
        <f t="shared" si="13"/>
        <v>-2266.3100000000013</v>
      </c>
    </row>
    <row r="388" spans="1:22">
      <c r="A388" t="s">
        <v>627</v>
      </c>
      <c r="B388" t="s">
        <v>151</v>
      </c>
      <c r="C388" t="s">
        <v>152</v>
      </c>
      <c r="D388" t="s">
        <v>73</v>
      </c>
      <c r="E388" t="s">
        <v>74</v>
      </c>
      <c r="F388" t="s">
        <v>48</v>
      </c>
      <c r="G388" t="s">
        <v>49</v>
      </c>
      <c r="H388" t="s">
        <v>609</v>
      </c>
      <c r="I388" t="s">
        <v>69</v>
      </c>
      <c r="J388" t="s">
        <v>29</v>
      </c>
      <c r="K388" t="s">
        <v>31</v>
      </c>
      <c r="L388" s="4">
        <v>46159</v>
      </c>
      <c r="M388" s="4">
        <v>46179</v>
      </c>
      <c r="N388" s="4"/>
      <c r="O388" t="s">
        <v>52</v>
      </c>
      <c r="P388" s="5">
        <v>0.85</v>
      </c>
      <c r="Q388" s="6">
        <v>21300</v>
      </c>
      <c r="R388" s="6">
        <v>21727.09</v>
      </c>
      <c r="S388">
        <v>0</v>
      </c>
      <c r="T388" t="str">
        <f t="shared" si="12"/>
        <v/>
      </c>
      <c r="U388">
        <f>IF(COUNTIFS($B$2:B388,B388,$F$2:F388,F388)=1,1,0)</f>
        <v>0</v>
      </c>
      <c r="V388" s="13">
        <f t="shared" si="13"/>
        <v>-427.09000000000015</v>
      </c>
    </row>
    <row r="389" spans="1:22">
      <c r="A389" t="s">
        <v>628</v>
      </c>
      <c r="B389" t="s">
        <v>154</v>
      </c>
      <c r="C389" t="s">
        <v>155</v>
      </c>
      <c r="D389" t="s">
        <v>82</v>
      </c>
      <c r="E389" t="s">
        <v>83</v>
      </c>
      <c r="F389" t="s">
        <v>58</v>
      </c>
      <c r="G389" t="s">
        <v>59</v>
      </c>
      <c r="H389" t="s">
        <v>593</v>
      </c>
      <c r="I389" t="s">
        <v>69</v>
      </c>
      <c r="J389" t="s">
        <v>29</v>
      </c>
      <c r="K389" t="s">
        <v>31</v>
      </c>
      <c r="L389" s="4">
        <v>46116</v>
      </c>
      <c r="M389" s="4">
        <v>46141</v>
      </c>
      <c r="N389" s="4">
        <v>46154</v>
      </c>
      <c r="O389" t="s">
        <v>32</v>
      </c>
      <c r="P389" s="5">
        <v>1</v>
      </c>
      <c r="Q389" s="6">
        <v>32600</v>
      </c>
      <c r="R389" s="6">
        <v>37816.410000000003</v>
      </c>
      <c r="S389">
        <v>3</v>
      </c>
      <c r="T389">
        <f t="shared" si="12"/>
        <v>13</v>
      </c>
      <c r="U389">
        <f>IF(COUNTIFS($B$2:B389,B389,$F$2:F389,F389)=1,1,0)</f>
        <v>0</v>
      </c>
      <c r="V389" s="13">
        <f t="shared" si="13"/>
        <v>-5216.4100000000035</v>
      </c>
    </row>
    <row r="390" spans="1:22">
      <c r="A390" t="s">
        <v>629</v>
      </c>
      <c r="B390" t="s">
        <v>157</v>
      </c>
      <c r="C390" t="s">
        <v>158</v>
      </c>
      <c r="D390" t="s">
        <v>24</v>
      </c>
      <c r="E390" t="s">
        <v>25</v>
      </c>
      <c r="F390" t="s">
        <v>66</v>
      </c>
      <c r="G390" t="s">
        <v>67</v>
      </c>
      <c r="H390" t="s">
        <v>595</v>
      </c>
      <c r="I390" t="s">
        <v>29</v>
      </c>
      <c r="J390" t="s">
        <v>30</v>
      </c>
      <c r="K390" t="s">
        <v>41</v>
      </c>
      <c r="L390" s="4">
        <v>46096</v>
      </c>
      <c r="M390" s="4">
        <v>46116</v>
      </c>
      <c r="N390" s="4">
        <v>46117</v>
      </c>
      <c r="O390" t="s">
        <v>32</v>
      </c>
      <c r="P390" s="5">
        <v>1</v>
      </c>
      <c r="Q390" s="6">
        <v>8600</v>
      </c>
      <c r="R390" s="6">
        <v>8495.42</v>
      </c>
      <c r="S390">
        <v>3</v>
      </c>
      <c r="T390">
        <f t="shared" si="12"/>
        <v>1</v>
      </c>
      <c r="U390">
        <f>IF(COUNTIFS($B$2:B390,B390,$F$2:F390,F390)=1,1,0)</f>
        <v>0</v>
      </c>
      <c r="V390" s="13">
        <f t="shared" si="13"/>
        <v>104.57999999999993</v>
      </c>
    </row>
    <row r="391" spans="1:22">
      <c r="A391" t="s">
        <v>630</v>
      </c>
      <c r="B391" t="s">
        <v>160</v>
      </c>
      <c r="C391" t="s">
        <v>161</v>
      </c>
      <c r="D391" t="s">
        <v>36</v>
      </c>
      <c r="E391" t="s">
        <v>37</v>
      </c>
      <c r="F391" t="s">
        <v>75</v>
      </c>
      <c r="G391" t="s">
        <v>84</v>
      </c>
      <c r="H391" t="s">
        <v>599</v>
      </c>
      <c r="I391" t="s">
        <v>69</v>
      </c>
      <c r="J391" t="s">
        <v>30</v>
      </c>
      <c r="K391" t="s">
        <v>51</v>
      </c>
      <c r="L391" s="4">
        <v>45990</v>
      </c>
      <c r="M391" s="4">
        <v>45996</v>
      </c>
      <c r="N391" s="4">
        <v>46007</v>
      </c>
      <c r="O391" t="s">
        <v>32</v>
      </c>
      <c r="P391" s="5">
        <v>1</v>
      </c>
      <c r="Q391" s="6">
        <v>18600</v>
      </c>
      <c r="R391" s="6">
        <v>15533.13</v>
      </c>
      <c r="S391">
        <v>2</v>
      </c>
      <c r="T391">
        <f t="shared" si="12"/>
        <v>11</v>
      </c>
      <c r="U391">
        <f>IF(COUNTIFS($B$2:B391,B391,$F$2:F391,F391)=1,1,0)</f>
        <v>0</v>
      </c>
      <c r="V391" s="13">
        <f t="shared" si="13"/>
        <v>3066.8700000000008</v>
      </c>
    </row>
    <row r="392" spans="1:22">
      <c r="A392" t="s">
        <v>631</v>
      </c>
      <c r="B392" t="s">
        <v>22</v>
      </c>
      <c r="C392" t="s">
        <v>23</v>
      </c>
      <c r="D392" t="s">
        <v>24</v>
      </c>
      <c r="E392" t="s">
        <v>25</v>
      </c>
      <c r="F392" t="s">
        <v>26</v>
      </c>
      <c r="G392" t="s">
        <v>90</v>
      </c>
      <c r="H392" t="s">
        <v>632</v>
      </c>
      <c r="I392" t="s">
        <v>69</v>
      </c>
      <c r="J392" t="s">
        <v>30</v>
      </c>
      <c r="K392" t="s">
        <v>31</v>
      </c>
      <c r="L392" s="4">
        <v>46140</v>
      </c>
      <c r="M392" s="4">
        <v>46146</v>
      </c>
      <c r="N392" s="4">
        <v>46138</v>
      </c>
      <c r="O392" t="s">
        <v>32</v>
      </c>
      <c r="P392" s="5">
        <v>1</v>
      </c>
      <c r="Q392" s="6">
        <v>43100</v>
      </c>
      <c r="R392" s="6">
        <v>46088.5</v>
      </c>
      <c r="S392">
        <v>2</v>
      </c>
      <c r="T392">
        <f t="shared" si="12"/>
        <v>0</v>
      </c>
      <c r="U392">
        <f>IF(COUNTIFS($B$2:B392,B392,$F$2:F392,F392)=1,1,0)</f>
        <v>0</v>
      </c>
      <c r="V392" s="13">
        <f t="shared" si="13"/>
        <v>-2988.5</v>
      </c>
    </row>
    <row r="393" spans="1:22">
      <c r="A393" t="s">
        <v>633</v>
      </c>
      <c r="B393" t="s">
        <v>34</v>
      </c>
      <c r="C393" t="s">
        <v>35</v>
      </c>
      <c r="D393" t="s">
        <v>36</v>
      </c>
      <c r="E393" t="s">
        <v>37</v>
      </c>
      <c r="F393" t="s">
        <v>38</v>
      </c>
      <c r="G393" t="s">
        <v>95</v>
      </c>
      <c r="H393" t="s">
        <v>634</v>
      </c>
      <c r="I393" t="s">
        <v>29</v>
      </c>
      <c r="J393" t="s">
        <v>30</v>
      </c>
      <c r="K393" t="s">
        <v>178</v>
      </c>
      <c r="L393" s="4">
        <v>45869</v>
      </c>
      <c r="M393" s="4">
        <v>45887</v>
      </c>
      <c r="N393" s="4">
        <v>45895</v>
      </c>
      <c r="O393" t="s">
        <v>32</v>
      </c>
      <c r="P393" s="5">
        <v>1</v>
      </c>
      <c r="Q393" s="6">
        <v>35500</v>
      </c>
      <c r="R393" s="6">
        <v>41272.449999999997</v>
      </c>
      <c r="S393">
        <v>0</v>
      </c>
      <c r="T393">
        <f t="shared" si="12"/>
        <v>8</v>
      </c>
      <c r="U393">
        <f>IF(COUNTIFS($B$2:B393,B393,$F$2:F393,F393)=1,1,0)</f>
        <v>0</v>
      </c>
      <c r="V393" s="13">
        <f t="shared" si="13"/>
        <v>-5772.4499999999971</v>
      </c>
    </row>
    <row r="394" spans="1:22">
      <c r="A394" t="s">
        <v>635</v>
      </c>
      <c r="B394" t="s">
        <v>44</v>
      </c>
      <c r="C394" t="s">
        <v>45</v>
      </c>
      <c r="D394" t="s">
        <v>46</v>
      </c>
      <c r="E394" t="s">
        <v>47</v>
      </c>
      <c r="F394" t="s">
        <v>48</v>
      </c>
      <c r="G394" t="s">
        <v>27</v>
      </c>
      <c r="H394" t="s">
        <v>636</v>
      </c>
      <c r="I394" t="s">
        <v>29</v>
      </c>
      <c r="J394" t="s">
        <v>29</v>
      </c>
      <c r="K394" t="s">
        <v>31</v>
      </c>
      <c r="L394" s="4">
        <v>45757</v>
      </c>
      <c r="M394" s="4">
        <v>45776</v>
      </c>
      <c r="N394" s="4">
        <v>45770</v>
      </c>
      <c r="O394" t="s">
        <v>32</v>
      </c>
      <c r="P394" s="5">
        <v>1</v>
      </c>
      <c r="Q394" s="6">
        <v>31600</v>
      </c>
      <c r="R394" s="6">
        <v>34561.82</v>
      </c>
      <c r="S394">
        <v>2</v>
      </c>
      <c r="T394">
        <f t="shared" si="12"/>
        <v>0</v>
      </c>
      <c r="U394">
        <f>IF(COUNTIFS($B$2:B394,B394,$F$2:F394,F394)=1,1,0)</f>
        <v>0</v>
      </c>
      <c r="V394" s="13">
        <f t="shared" si="13"/>
        <v>-2961.8199999999997</v>
      </c>
    </row>
    <row r="395" spans="1:22">
      <c r="A395" t="s">
        <v>637</v>
      </c>
      <c r="B395" t="s">
        <v>54</v>
      </c>
      <c r="C395" t="s">
        <v>55</v>
      </c>
      <c r="D395" t="s">
        <v>56</v>
      </c>
      <c r="E395" t="s">
        <v>57</v>
      </c>
      <c r="F395" t="s">
        <v>58</v>
      </c>
      <c r="G395" t="s">
        <v>39</v>
      </c>
      <c r="H395" t="s">
        <v>638</v>
      </c>
      <c r="I395" t="s">
        <v>29</v>
      </c>
      <c r="J395" t="s">
        <v>30</v>
      </c>
      <c r="K395" t="s">
        <v>41</v>
      </c>
      <c r="L395" s="4">
        <v>46077</v>
      </c>
      <c r="M395" s="4">
        <v>46093</v>
      </c>
      <c r="N395" s="4">
        <v>46102</v>
      </c>
      <c r="O395" t="s">
        <v>32</v>
      </c>
      <c r="P395" s="5">
        <v>1</v>
      </c>
      <c r="Q395" s="6">
        <v>40100</v>
      </c>
      <c r="R395" s="6">
        <v>32438.04</v>
      </c>
      <c r="S395">
        <v>1</v>
      </c>
      <c r="T395">
        <f t="shared" si="12"/>
        <v>9</v>
      </c>
      <c r="U395">
        <f>IF(COUNTIFS($B$2:B395,B395,$F$2:F395,F395)=1,1,0)</f>
        <v>0</v>
      </c>
      <c r="V395" s="13">
        <f t="shared" si="13"/>
        <v>7661.9599999999991</v>
      </c>
    </row>
    <row r="396" spans="1:22">
      <c r="A396" t="s">
        <v>639</v>
      </c>
      <c r="B396" t="s">
        <v>62</v>
      </c>
      <c r="C396" t="s">
        <v>63</v>
      </c>
      <c r="D396" t="s">
        <v>64</v>
      </c>
      <c r="E396" t="s">
        <v>65</v>
      </c>
      <c r="F396" t="s">
        <v>66</v>
      </c>
      <c r="G396" t="s">
        <v>49</v>
      </c>
      <c r="H396" t="s">
        <v>640</v>
      </c>
      <c r="I396" t="s">
        <v>29</v>
      </c>
      <c r="J396" t="s">
        <v>30</v>
      </c>
      <c r="K396" t="s">
        <v>78</v>
      </c>
      <c r="L396" s="4">
        <v>45944</v>
      </c>
      <c r="M396" s="4">
        <v>45967</v>
      </c>
      <c r="N396" s="4"/>
      <c r="O396" t="s">
        <v>32</v>
      </c>
      <c r="P396" s="5">
        <v>0.4</v>
      </c>
      <c r="Q396" s="6">
        <v>28700</v>
      </c>
      <c r="R396" s="6">
        <v>28541.14</v>
      </c>
      <c r="S396">
        <v>2</v>
      </c>
      <c r="T396" t="str">
        <f t="shared" si="12"/>
        <v/>
      </c>
      <c r="U396">
        <f>IF(COUNTIFS($B$2:B396,B396,$F$2:F396,F396)=1,1,0)</f>
        <v>0</v>
      </c>
      <c r="V396" s="13">
        <f t="shared" si="13"/>
        <v>158.86000000000058</v>
      </c>
    </row>
    <row r="397" spans="1:22">
      <c r="A397" t="s">
        <v>641</v>
      </c>
      <c r="B397" t="s">
        <v>71</v>
      </c>
      <c r="C397" t="s">
        <v>72</v>
      </c>
      <c r="D397" t="s">
        <v>73</v>
      </c>
      <c r="E397" t="s">
        <v>74</v>
      </c>
      <c r="F397" t="s">
        <v>75</v>
      </c>
      <c r="G397" t="s">
        <v>59</v>
      </c>
      <c r="H397" t="s">
        <v>642</v>
      </c>
      <c r="I397" t="s">
        <v>69</v>
      </c>
      <c r="J397" t="s">
        <v>69</v>
      </c>
      <c r="K397" t="s">
        <v>51</v>
      </c>
      <c r="L397" s="4">
        <v>45833</v>
      </c>
      <c r="M397" s="4">
        <v>45852</v>
      </c>
      <c r="N397" s="4">
        <v>45847</v>
      </c>
      <c r="O397" t="s">
        <v>32</v>
      </c>
      <c r="P397" s="5">
        <v>1</v>
      </c>
      <c r="Q397" s="6">
        <v>34600</v>
      </c>
      <c r="R397" s="6">
        <v>32481.279999999999</v>
      </c>
      <c r="S397">
        <v>1</v>
      </c>
      <c r="T397">
        <f t="shared" si="12"/>
        <v>0</v>
      </c>
      <c r="U397">
        <f>IF(COUNTIFS($B$2:B397,B397,$F$2:F397,F397)=1,1,0)</f>
        <v>0</v>
      </c>
      <c r="V397" s="13">
        <f t="shared" si="13"/>
        <v>2118.7200000000012</v>
      </c>
    </row>
    <row r="398" spans="1:22">
      <c r="A398" t="s">
        <v>643</v>
      </c>
      <c r="B398" t="s">
        <v>80</v>
      </c>
      <c r="C398" t="s">
        <v>81</v>
      </c>
      <c r="D398" t="s">
        <v>82</v>
      </c>
      <c r="E398" t="s">
        <v>83</v>
      </c>
      <c r="F398" t="s">
        <v>26</v>
      </c>
      <c r="G398" t="s">
        <v>67</v>
      </c>
      <c r="H398" t="s">
        <v>644</v>
      </c>
      <c r="I398" t="s">
        <v>86</v>
      </c>
      <c r="J398" t="s">
        <v>29</v>
      </c>
      <c r="K398" t="s">
        <v>78</v>
      </c>
      <c r="L398" s="4">
        <v>45913</v>
      </c>
      <c r="M398" s="4">
        <v>45925</v>
      </c>
      <c r="N398" s="4">
        <v>45923</v>
      </c>
      <c r="O398" t="s">
        <v>32</v>
      </c>
      <c r="P398" s="5">
        <v>1</v>
      </c>
      <c r="Q398" s="6">
        <v>19900</v>
      </c>
      <c r="R398" s="6">
        <v>21333.34</v>
      </c>
      <c r="S398">
        <v>2</v>
      </c>
      <c r="T398">
        <f t="shared" si="12"/>
        <v>0</v>
      </c>
      <c r="U398">
        <f>IF(COUNTIFS($B$2:B398,B398,$F$2:F398,F398)=1,1,0)</f>
        <v>0</v>
      </c>
      <c r="V398" s="13">
        <f t="shared" si="13"/>
        <v>-1433.3400000000001</v>
      </c>
    </row>
    <row r="399" spans="1:22">
      <c r="A399" t="s">
        <v>645</v>
      </c>
      <c r="B399" t="s">
        <v>88</v>
      </c>
      <c r="C399" t="s">
        <v>89</v>
      </c>
      <c r="D399" t="s">
        <v>24</v>
      </c>
      <c r="E399" t="s">
        <v>25</v>
      </c>
      <c r="F399" t="s">
        <v>38</v>
      </c>
      <c r="G399" t="s">
        <v>76</v>
      </c>
      <c r="H399" t="s">
        <v>646</v>
      </c>
      <c r="I399" t="s">
        <v>29</v>
      </c>
      <c r="J399" t="s">
        <v>30</v>
      </c>
      <c r="K399" t="s">
        <v>31</v>
      </c>
      <c r="L399" s="4">
        <v>45802</v>
      </c>
      <c r="M399" s="4">
        <v>45829</v>
      </c>
      <c r="N399" s="4">
        <v>45842</v>
      </c>
      <c r="O399" t="s">
        <v>32</v>
      </c>
      <c r="P399" s="5">
        <v>1</v>
      </c>
      <c r="Q399" s="6">
        <v>7900</v>
      </c>
      <c r="R399" s="6">
        <v>7921.88</v>
      </c>
      <c r="S399">
        <v>3</v>
      </c>
      <c r="T399">
        <f t="shared" si="12"/>
        <v>13</v>
      </c>
      <c r="U399">
        <f>IF(COUNTIFS($B$2:B399,B399,$F$2:F399,F399)=1,1,0)</f>
        <v>0</v>
      </c>
      <c r="V399" s="13">
        <f t="shared" si="13"/>
        <v>-21.880000000000109</v>
      </c>
    </row>
    <row r="400" spans="1:22">
      <c r="A400" t="s">
        <v>647</v>
      </c>
      <c r="B400" t="s">
        <v>93</v>
      </c>
      <c r="C400" t="s">
        <v>94</v>
      </c>
      <c r="D400" t="s">
        <v>36</v>
      </c>
      <c r="E400" t="s">
        <v>37</v>
      </c>
      <c r="F400" t="s">
        <v>48</v>
      </c>
      <c r="G400" t="s">
        <v>84</v>
      </c>
      <c r="H400" t="s">
        <v>648</v>
      </c>
      <c r="I400" t="s">
        <v>29</v>
      </c>
      <c r="J400" t="s">
        <v>29</v>
      </c>
      <c r="K400" t="s">
        <v>31</v>
      </c>
      <c r="L400" s="4">
        <v>46155</v>
      </c>
      <c r="M400" s="4">
        <v>46161</v>
      </c>
      <c r="N400" s="4">
        <v>46168</v>
      </c>
      <c r="O400" t="s">
        <v>32</v>
      </c>
      <c r="P400" s="5">
        <v>1</v>
      </c>
      <c r="Q400" s="6">
        <v>30900</v>
      </c>
      <c r="R400" s="6">
        <v>29276.240000000002</v>
      </c>
      <c r="S400">
        <v>1</v>
      </c>
      <c r="T400">
        <f t="shared" si="12"/>
        <v>7</v>
      </c>
      <c r="U400">
        <f>IF(COUNTIFS($B$2:B400,B400,$F$2:F400,F400)=1,1,0)</f>
        <v>0</v>
      </c>
      <c r="V400" s="13">
        <f t="shared" si="13"/>
        <v>1623.7599999999984</v>
      </c>
    </row>
    <row r="401" spans="1:22">
      <c r="A401" t="s">
        <v>649</v>
      </c>
      <c r="B401" t="s">
        <v>98</v>
      </c>
      <c r="C401" t="s">
        <v>99</v>
      </c>
      <c r="D401" t="s">
        <v>46</v>
      </c>
      <c r="E401" t="s">
        <v>47</v>
      </c>
      <c r="F401" t="s">
        <v>58</v>
      </c>
      <c r="G401" t="s">
        <v>90</v>
      </c>
      <c r="H401" t="s">
        <v>632</v>
      </c>
      <c r="I401" t="s">
        <v>69</v>
      </c>
      <c r="J401" t="s">
        <v>30</v>
      </c>
      <c r="K401" t="s">
        <v>143</v>
      </c>
      <c r="L401" s="4">
        <v>45788</v>
      </c>
      <c r="M401" s="4">
        <v>45813</v>
      </c>
      <c r="N401" s="4">
        <v>45821</v>
      </c>
      <c r="O401" t="s">
        <v>32</v>
      </c>
      <c r="P401" s="5">
        <v>1</v>
      </c>
      <c r="Q401" s="6">
        <v>43100</v>
      </c>
      <c r="R401" s="6">
        <v>41869.74</v>
      </c>
      <c r="S401">
        <v>2</v>
      </c>
      <c r="T401">
        <f t="shared" si="12"/>
        <v>8</v>
      </c>
      <c r="U401">
        <f>IF(COUNTIFS($B$2:B401,B401,$F$2:F401,F401)=1,1,0)</f>
        <v>0</v>
      </c>
      <c r="V401" s="13">
        <f t="shared" si="13"/>
        <v>1230.260000000002</v>
      </c>
    </row>
    <row r="402" spans="1:22">
      <c r="A402" t="s">
        <v>650</v>
      </c>
      <c r="B402" t="s">
        <v>101</v>
      </c>
      <c r="C402" t="s">
        <v>102</v>
      </c>
      <c r="D402" t="s">
        <v>56</v>
      </c>
      <c r="E402" t="s">
        <v>57</v>
      </c>
      <c r="F402" t="s">
        <v>66</v>
      </c>
      <c r="G402" t="s">
        <v>95</v>
      </c>
      <c r="H402" t="s">
        <v>634</v>
      </c>
      <c r="I402" t="s">
        <v>29</v>
      </c>
      <c r="J402" t="s">
        <v>30</v>
      </c>
      <c r="K402" t="s">
        <v>31</v>
      </c>
      <c r="L402" s="4">
        <v>46122</v>
      </c>
      <c r="M402" s="4">
        <v>46151</v>
      </c>
      <c r="N402" s="4"/>
      <c r="O402" t="s">
        <v>52</v>
      </c>
      <c r="P402" s="5">
        <v>0.85</v>
      </c>
      <c r="Q402" s="6">
        <v>32200</v>
      </c>
      <c r="R402" s="6">
        <v>32379.86</v>
      </c>
      <c r="S402">
        <v>0</v>
      </c>
      <c r="T402" t="str">
        <f t="shared" si="12"/>
        <v/>
      </c>
      <c r="U402">
        <f>IF(COUNTIFS($B$2:B402,B402,$F$2:F402,F402)=1,1,0)</f>
        <v>0</v>
      </c>
      <c r="V402" s="13">
        <f t="shared" si="13"/>
        <v>-179.86000000000058</v>
      </c>
    </row>
    <row r="403" spans="1:22">
      <c r="A403" t="s">
        <v>651</v>
      </c>
      <c r="B403" t="s">
        <v>104</v>
      </c>
      <c r="C403" t="s">
        <v>105</v>
      </c>
      <c r="D403" t="s">
        <v>64</v>
      </c>
      <c r="E403" t="s">
        <v>65</v>
      </c>
      <c r="F403" t="s">
        <v>75</v>
      </c>
      <c r="G403" t="s">
        <v>27</v>
      </c>
      <c r="H403" t="s">
        <v>636</v>
      </c>
      <c r="I403" t="s">
        <v>29</v>
      </c>
      <c r="J403" t="s">
        <v>29</v>
      </c>
      <c r="K403" t="s">
        <v>78</v>
      </c>
      <c r="L403" s="4">
        <v>46091</v>
      </c>
      <c r="M403" s="4">
        <v>46103</v>
      </c>
      <c r="N403" s="4"/>
      <c r="O403" t="s">
        <v>52</v>
      </c>
      <c r="P403" s="5">
        <v>0.85</v>
      </c>
      <c r="Q403" s="6">
        <v>4700</v>
      </c>
      <c r="R403" s="6">
        <v>4100.04</v>
      </c>
      <c r="S403">
        <v>4</v>
      </c>
      <c r="T403" t="str">
        <f t="shared" si="12"/>
        <v/>
      </c>
      <c r="U403">
        <f>IF(COUNTIFS($B$2:B403,B403,$F$2:F403,F403)=1,1,0)</f>
        <v>0</v>
      </c>
      <c r="V403" s="13">
        <f t="shared" si="13"/>
        <v>599.96</v>
      </c>
    </row>
    <row r="404" spans="1:22">
      <c r="A404" t="s">
        <v>652</v>
      </c>
      <c r="B404" t="s">
        <v>107</v>
      </c>
      <c r="C404" t="s">
        <v>108</v>
      </c>
      <c r="D404" t="s">
        <v>73</v>
      </c>
      <c r="E404" t="s">
        <v>74</v>
      </c>
      <c r="F404" t="s">
        <v>26</v>
      </c>
      <c r="G404" t="s">
        <v>39</v>
      </c>
      <c r="H404" t="s">
        <v>638</v>
      </c>
      <c r="I404" t="s">
        <v>30</v>
      </c>
      <c r="J404" t="s">
        <v>30</v>
      </c>
      <c r="K404" t="s">
        <v>31</v>
      </c>
      <c r="L404" s="4">
        <v>46009</v>
      </c>
      <c r="M404" s="4">
        <v>46016</v>
      </c>
      <c r="N404" s="4"/>
      <c r="O404" t="s">
        <v>42</v>
      </c>
      <c r="P404" s="5">
        <v>0</v>
      </c>
      <c r="Q404" s="6">
        <v>38300</v>
      </c>
      <c r="R404" s="6">
        <v>0</v>
      </c>
      <c r="S404">
        <v>3</v>
      </c>
      <c r="T404" t="str">
        <f t="shared" si="12"/>
        <v/>
      </c>
      <c r="U404">
        <f>IF(COUNTIFS($B$2:B404,B404,$F$2:F404,F404)=1,1,0)</f>
        <v>0</v>
      </c>
      <c r="V404" s="13">
        <f t="shared" si="13"/>
        <v>38300</v>
      </c>
    </row>
    <row r="405" spans="1:22">
      <c r="A405" t="s">
        <v>653</v>
      </c>
      <c r="B405" t="s">
        <v>111</v>
      </c>
      <c r="C405" t="s">
        <v>112</v>
      </c>
      <c r="D405" t="s">
        <v>82</v>
      </c>
      <c r="E405" t="s">
        <v>83</v>
      </c>
      <c r="F405" t="s">
        <v>38</v>
      </c>
      <c r="G405" t="s">
        <v>49</v>
      </c>
      <c r="H405" t="s">
        <v>640</v>
      </c>
      <c r="I405" t="s">
        <v>86</v>
      </c>
      <c r="J405" t="s">
        <v>30</v>
      </c>
      <c r="K405" t="s">
        <v>178</v>
      </c>
      <c r="L405" s="4">
        <v>45720</v>
      </c>
      <c r="M405" s="4">
        <v>45747</v>
      </c>
      <c r="N405" s="4">
        <v>45749</v>
      </c>
      <c r="O405" t="s">
        <v>32</v>
      </c>
      <c r="P405" s="5">
        <v>1</v>
      </c>
      <c r="Q405" s="6">
        <v>28300</v>
      </c>
      <c r="R405" s="6">
        <v>26965.14</v>
      </c>
      <c r="S405">
        <v>0</v>
      </c>
      <c r="T405">
        <f t="shared" si="12"/>
        <v>2</v>
      </c>
      <c r="U405">
        <f>IF(COUNTIFS($B$2:B405,B405,$F$2:F405,F405)=1,1,0)</f>
        <v>0</v>
      </c>
      <c r="V405" s="13">
        <f t="shared" si="13"/>
        <v>1334.8600000000006</v>
      </c>
    </row>
    <row r="406" spans="1:22">
      <c r="A406" t="s">
        <v>654</v>
      </c>
      <c r="B406" t="s">
        <v>114</v>
      </c>
      <c r="C406" t="s">
        <v>115</v>
      </c>
      <c r="D406" t="s">
        <v>24</v>
      </c>
      <c r="E406" t="s">
        <v>25</v>
      </c>
      <c r="F406" t="s">
        <v>48</v>
      </c>
      <c r="G406" t="s">
        <v>59</v>
      </c>
      <c r="H406" t="s">
        <v>642</v>
      </c>
      <c r="I406" t="s">
        <v>69</v>
      </c>
      <c r="J406" t="s">
        <v>30</v>
      </c>
      <c r="K406" t="s">
        <v>78</v>
      </c>
      <c r="L406" s="4">
        <v>46046</v>
      </c>
      <c r="M406" s="4">
        <v>46065</v>
      </c>
      <c r="N406" s="4"/>
      <c r="O406" t="s">
        <v>52</v>
      </c>
      <c r="P406" s="5">
        <v>0.4</v>
      </c>
      <c r="Q406" s="6">
        <v>24100</v>
      </c>
      <c r="R406" s="6">
        <v>24934.799999999999</v>
      </c>
      <c r="S406">
        <v>0</v>
      </c>
      <c r="T406" t="str">
        <f t="shared" si="12"/>
        <v/>
      </c>
      <c r="U406">
        <f>IF(COUNTIFS($B$2:B406,B406,$F$2:F406,F406)=1,1,0)</f>
        <v>0</v>
      </c>
      <c r="V406" s="13">
        <f t="shared" si="13"/>
        <v>-834.79999999999927</v>
      </c>
    </row>
    <row r="407" spans="1:22">
      <c r="A407" t="s">
        <v>655</v>
      </c>
      <c r="B407" t="s">
        <v>117</v>
      </c>
      <c r="C407" t="s">
        <v>118</v>
      </c>
      <c r="D407" t="s">
        <v>36</v>
      </c>
      <c r="E407" t="s">
        <v>37</v>
      </c>
      <c r="F407" t="s">
        <v>58</v>
      </c>
      <c r="G407" t="s">
        <v>67</v>
      </c>
      <c r="H407" t="s">
        <v>644</v>
      </c>
      <c r="I407" t="s">
        <v>29</v>
      </c>
      <c r="J407" t="s">
        <v>30</v>
      </c>
      <c r="K407" t="s">
        <v>31</v>
      </c>
      <c r="L407" s="4">
        <v>45933</v>
      </c>
      <c r="M407" s="4">
        <v>45957</v>
      </c>
      <c r="N407" s="4"/>
      <c r="O407" t="s">
        <v>52</v>
      </c>
      <c r="P407" s="5">
        <v>0.5</v>
      </c>
      <c r="Q407" s="6">
        <v>14300</v>
      </c>
      <c r="R407" s="6">
        <v>16663.55</v>
      </c>
      <c r="S407">
        <v>1</v>
      </c>
      <c r="T407" t="str">
        <f t="shared" si="12"/>
        <v/>
      </c>
      <c r="U407">
        <f>IF(COUNTIFS($B$2:B407,B407,$F$2:F407,F407)=1,1,0)</f>
        <v>0</v>
      </c>
      <c r="V407" s="13">
        <f t="shared" si="13"/>
        <v>-2363.5499999999993</v>
      </c>
    </row>
    <row r="408" spans="1:22">
      <c r="A408" t="s">
        <v>656</v>
      </c>
      <c r="B408" t="s">
        <v>120</v>
      </c>
      <c r="C408" t="s">
        <v>121</v>
      </c>
      <c r="D408" t="s">
        <v>46</v>
      </c>
      <c r="E408" t="s">
        <v>47</v>
      </c>
      <c r="F408" t="s">
        <v>66</v>
      </c>
      <c r="G408" t="s">
        <v>76</v>
      </c>
      <c r="H408" t="s">
        <v>646</v>
      </c>
      <c r="I408" t="s">
        <v>29</v>
      </c>
      <c r="J408" t="s">
        <v>29</v>
      </c>
      <c r="K408" t="s">
        <v>78</v>
      </c>
      <c r="L408" s="4">
        <v>45681</v>
      </c>
      <c r="M408" s="4">
        <v>45687</v>
      </c>
      <c r="N408" s="4">
        <v>45675</v>
      </c>
      <c r="O408" t="s">
        <v>32</v>
      </c>
      <c r="P408" s="5">
        <v>1</v>
      </c>
      <c r="Q408" s="6">
        <v>28200</v>
      </c>
      <c r="R408" s="6">
        <v>31014.78</v>
      </c>
      <c r="S408">
        <v>0</v>
      </c>
      <c r="T408">
        <f t="shared" si="12"/>
        <v>0</v>
      </c>
      <c r="U408">
        <f>IF(COUNTIFS($B$2:B408,B408,$F$2:F408,F408)=1,1,0)</f>
        <v>0</v>
      </c>
      <c r="V408" s="13">
        <f t="shared" si="13"/>
        <v>-2814.7799999999988</v>
      </c>
    </row>
    <row r="409" spans="1:22">
      <c r="A409" t="s">
        <v>657</v>
      </c>
      <c r="B409" t="s">
        <v>123</v>
      </c>
      <c r="C409" t="s">
        <v>124</v>
      </c>
      <c r="D409" t="s">
        <v>56</v>
      </c>
      <c r="E409" t="s">
        <v>57</v>
      </c>
      <c r="F409" t="s">
        <v>75</v>
      </c>
      <c r="G409" t="s">
        <v>84</v>
      </c>
      <c r="H409" t="s">
        <v>648</v>
      </c>
      <c r="I409" t="s">
        <v>69</v>
      </c>
      <c r="J409" t="s">
        <v>30</v>
      </c>
      <c r="K409" t="s">
        <v>178</v>
      </c>
      <c r="L409" s="4">
        <v>45707</v>
      </c>
      <c r="M409" s="4">
        <v>45722</v>
      </c>
      <c r="N409" s="4"/>
      <c r="O409" t="s">
        <v>52</v>
      </c>
      <c r="P409" s="5">
        <v>0.85</v>
      </c>
      <c r="Q409" s="6">
        <v>13800</v>
      </c>
      <c r="R409" s="6">
        <v>11430.76</v>
      </c>
      <c r="S409">
        <v>3</v>
      </c>
      <c r="T409" t="str">
        <f t="shared" si="12"/>
        <v/>
      </c>
      <c r="U409">
        <f>IF(COUNTIFS($B$2:B409,B409,$F$2:F409,F409)=1,1,0)</f>
        <v>0</v>
      </c>
      <c r="V409" s="13">
        <f t="shared" si="13"/>
        <v>2369.2399999999998</v>
      </c>
    </row>
    <row r="410" spans="1:22">
      <c r="A410" t="s">
        <v>658</v>
      </c>
      <c r="B410" t="s">
        <v>126</v>
      </c>
      <c r="C410" t="s">
        <v>127</v>
      </c>
      <c r="D410" t="s">
        <v>64</v>
      </c>
      <c r="E410" t="s">
        <v>65</v>
      </c>
      <c r="F410" t="s">
        <v>26</v>
      </c>
      <c r="G410" t="s">
        <v>90</v>
      </c>
      <c r="H410" t="s">
        <v>632</v>
      </c>
      <c r="I410" t="s">
        <v>29</v>
      </c>
      <c r="J410" t="s">
        <v>29</v>
      </c>
      <c r="K410" t="s">
        <v>31</v>
      </c>
      <c r="L410" s="4">
        <v>45721</v>
      </c>
      <c r="M410" s="4">
        <v>45733</v>
      </c>
      <c r="N410" s="4">
        <v>45728</v>
      </c>
      <c r="O410" t="s">
        <v>32</v>
      </c>
      <c r="P410" s="5">
        <v>1</v>
      </c>
      <c r="Q410" s="6">
        <v>9900</v>
      </c>
      <c r="R410" s="6">
        <v>7458.18</v>
      </c>
      <c r="S410">
        <v>1</v>
      </c>
      <c r="T410">
        <f t="shared" si="12"/>
        <v>0</v>
      </c>
      <c r="U410">
        <f>IF(COUNTIFS($B$2:B410,B410,$F$2:F410,F410)=1,1,0)</f>
        <v>0</v>
      </c>
      <c r="V410" s="13">
        <f t="shared" si="13"/>
        <v>2441.8199999999997</v>
      </c>
    </row>
    <row r="411" spans="1:22">
      <c r="A411" t="s">
        <v>659</v>
      </c>
      <c r="B411" t="s">
        <v>129</v>
      </c>
      <c r="C411" t="s">
        <v>130</v>
      </c>
      <c r="D411" t="s">
        <v>73</v>
      </c>
      <c r="E411" t="s">
        <v>74</v>
      </c>
      <c r="F411" t="s">
        <v>38</v>
      </c>
      <c r="G411" t="s">
        <v>95</v>
      </c>
      <c r="H411" t="s">
        <v>634</v>
      </c>
      <c r="I411" t="s">
        <v>29</v>
      </c>
      <c r="J411" t="s">
        <v>69</v>
      </c>
      <c r="K411" t="s">
        <v>143</v>
      </c>
      <c r="L411" s="4">
        <v>45775</v>
      </c>
      <c r="M411" s="4">
        <v>45798</v>
      </c>
      <c r="N411" s="4"/>
      <c r="O411" t="s">
        <v>42</v>
      </c>
      <c r="P411" s="5">
        <v>0</v>
      </c>
      <c r="Q411" s="6">
        <v>30700</v>
      </c>
      <c r="R411" s="6">
        <v>0</v>
      </c>
      <c r="S411">
        <v>0</v>
      </c>
      <c r="T411" t="str">
        <f t="shared" si="12"/>
        <v/>
      </c>
      <c r="U411">
        <f>IF(COUNTIFS($B$2:B411,B411,$F$2:F411,F411)=1,1,0)</f>
        <v>0</v>
      </c>
      <c r="V411" s="13">
        <f t="shared" si="13"/>
        <v>30700</v>
      </c>
    </row>
    <row r="412" spans="1:22">
      <c r="A412" t="s">
        <v>660</v>
      </c>
      <c r="B412" t="s">
        <v>132</v>
      </c>
      <c r="C412" t="s">
        <v>133</v>
      </c>
      <c r="D412" t="s">
        <v>82</v>
      </c>
      <c r="E412" t="s">
        <v>83</v>
      </c>
      <c r="F412" t="s">
        <v>48</v>
      </c>
      <c r="G412" t="s">
        <v>27</v>
      </c>
      <c r="H412" t="s">
        <v>636</v>
      </c>
      <c r="I412" t="s">
        <v>29</v>
      </c>
      <c r="J412" t="s">
        <v>30</v>
      </c>
      <c r="K412" t="s">
        <v>143</v>
      </c>
      <c r="L412" s="4">
        <v>45893</v>
      </c>
      <c r="M412" s="4">
        <v>45916</v>
      </c>
      <c r="N412" s="4">
        <v>45928</v>
      </c>
      <c r="O412" t="s">
        <v>32</v>
      </c>
      <c r="P412" s="5">
        <v>1</v>
      </c>
      <c r="Q412" s="6">
        <v>2500</v>
      </c>
      <c r="R412" s="6">
        <v>2733.26</v>
      </c>
      <c r="S412">
        <v>1</v>
      </c>
      <c r="T412">
        <f t="shared" si="12"/>
        <v>12</v>
      </c>
      <c r="U412">
        <f>IF(COUNTIFS($B$2:B412,B412,$F$2:F412,F412)=1,1,0)</f>
        <v>0</v>
      </c>
      <c r="V412" s="13">
        <f t="shared" si="13"/>
        <v>-233.26000000000022</v>
      </c>
    </row>
    <row r="413" spans="1:22">
      <c r="A413" t="s">
        <v>661</v>
      </c>
      <c r="B413" t="s">
        <v>135</v>
      </c>
      <c r="C413" t="s">
        <v>136</v>
      </c>
      <c r="D413" t="s">
        <v>24</v>
      </c>
      <c r="E413" t="s">
        <v>25</v>
      </c>
      <c r="F413" t="s">
        <v>58</v>
      </c>
      <c r="G413" t="s">
        <v>39</v>
      </c>
      <c r="H413" t="s">
        <v>638</v>
      </c>
      <c r="I413" t="s">
        <v>30</v>
      </c>
      <c r="J413" t="s">
        <v>30</v>
      </c>
      <c r="K413" t="s">
        <v>31</v>
      </c>
      <c r="L413" s="4">
        <v>45939</v>
      </c>
      <c r="M413" s="4">
        <v>45960</v>
      </c>
      <c r="N413" s="4">
        <v>45960</v>
      </c>
      <c r="O413" t="s">
        <v>32</v>
      </c>
      <c r="P413" s="5">
        <v>1</v>
      </c>
      <c r="Q413" s="6">
        <v>41100</v>
      </c>
      <c r="R413" s="6">
        <v>37780.79</v>
      </c>
      <c r="S413">
        <v>2</v>
      </c>
      <c r="T413">
        <f t="shared" si="12"/>
        <v>0</v>
      </c>
      <c r="U413">
        <f>IF(COUNTIFS($B$2:B413,B413,$F$2:F413,F413)=1,1,0)</f>
        <v>0</v>
      </c>
      <c r="V413" s="13">
        <f t="shared" si="13"/>
        <v>3319.2099999999991</v>
      </c>
    </row>
    <row r="414" spans="1:22">
      <c r="A414" t="s">
        <v>662</v>
      </c>
      <c r="B414" t="s">
        <v>138</v>
      </c>
      <c r="C414" t="s">
        <v>139</v>
      </c>
      <c r="D414" t="s">
        <v>36</v>
      </c>
      <c r="E414" t="s">
        <v>37</v>
      </c>
      <c r="F414" t="s">
        <v>66</v>
      </c>
      <c r="G414" t="s">
        <v>49</v>
      </c>
      <c r="H414" t="s">
        <v>640</v>
      </c>
      <c r="I414" t="s">
        <v>29</v>
      </c>
      <c r="J414" t="s">
        <v>30</v>
      </c>
      <c r="K414" t="s">
        <v>31</v>
      </c>
      <c r="L414" s="4">
        <v>46001</v>
      </c>
      <c r="M414" s="4">
        <v>46021</v>
      </c>
      <c r="N414" s="4"/>
      <c r="O414" t="s">
        <v>42</v>
      </c>
      <c r="P414" s="5">
        <v>0</v>
      </c>
      <c r="Q414" s="6">
        <v>32800</v>
      </c>
      <c r="R414" s="6">
        <v>0</v>
      </c>
      <c r="S414">
        <v>2</v>
      </c>
      <c r="T414" t="str">
        <f t="shared" si="12"/>
        <v/>
      </c>
      <c r="U414">
        <f>IF(COUNTIFS($B$2:B414,B414,$F$2:F414,F414)=1,1,0)</f>
        <v>0</v>
      </c>
      <c r="V414" s="13">
        <f t="shared" si="13"/>
        <v>32800</v>
      </c>
    </row>
    <row r="415" spans="1:22">
      <c r="A415" t="s">
        <v>663</v>
      </c>
      <c r="B415" t="s">
        <v>141</v>
      </c>
      <c r="C415" t="s">
        <v>142</v>
      </c>
      <c r="D415" t="s">
        <v>46</v>
      </c>
      <c r="E415" t="s">
        <v>47</v>
      </c>
      <c r="F415" t="s">
        <v>75</v>
      </c>
      <c r="G415" t="s">
        <v>59</v>
      </c>
      <c r="H415" t="s">
        <v>642</v>
      </c>
      <c r="I415" t="s">
        <v>30</v>
      </c>
      <c r="J415" t="s">
        <v>29</v>
      </c>
      <c r="K415" t="s">
        <v>31</v>
      </c>
      <c r="L415" s="4">
        <v>45804</v>
      </c>
      <c r="M415" s="4">
        <v>45810</v>
      </c>
      <c r="N415" s="4"/>
      <c r="O415" t="s">
        <v>52</v>
      </c>
      <c r="P415" s="5">
        <v>0.85</v>
      </c>
      <c r="Q415" s="6">
        <v>14600</v>
      </c>
      <c r="R415" s="6">
        <v>17232.25</v>
      </c>
      <c r="S415">
        <v>3</v>
      </c>
      <c r="T415" t="str">
        <f t="shared" si="12"/>
        <v/>
      </c>
      <c r="U415">
        <f>IF(COUNTIFS($B$2:B415,B415,$F$2:F415,F415)=1,1,0)</f>
        <v>0</v>
      </c>
      <c r="V415" s="13">
        <f t="shared" si="13"/>
        <v>-2632.25</v>
      </c>
    </row>
    <row r="416" spans="1:22">
      <c r="A416" t="s">
        <v>664</v>
      </c>
      <c r="B416" t="s">
        <v>145</v>
      </c>
      <c r="C416" t="s">
        <v>146</v>
      </c>
      <c r="D416" t="s">
        <v>56</v>
      </c>
      <c r="E416" t="s">
        <v>57</v>
      </c>
      <c r="F416" t="s">
        <v>26</v>
      </c>
      <c r="G416" t="s">
        <v>67</v>
      </c>
      <c r="H416" t="s">
        <v>644</v>
      </c>
      <c r="I416" t="s">
        <v>29</v>
      </c>
      <c r="J416" t="s">
        <v>30</v>
      </c>
      <c r="K416" t="s">
        <v>51</v>
      </c>
      <c r="L416" s="4">
        <v>46071</v>
      </c>
      <c r="M416" s="4">
        <v>46079</v>
      </c>
      <c r="N416" s="4">
        <v>46086</v>
      </c>
      <c r="O416" t="s">
        <v>32</v>
      </c>
      <c r="P416" s="5">
        <v>1</v>
      </c>
      <c r="Q416" s="6">
        <v>36200</v>
      </c>
      <c r="R416" s="6">
        <v>39921.4</v>
      </c>
      <c r="S416">
        <v>0</v>
      </c>
      <c r="T416">
        <f t="shared" si="12"/>
        <v>7</v>
      </c>
      <c r="U416">
        <f>IF(COUNTIFS($B$2:B416,B416,$F$2:F416,F416)=1,1,0)</f>
        <v>0</v>
      </c>
      <c r="V416" s="13">
        <f t="shared" si="13"/>
        <v>-3721.4000000000015</v>
      </c>
    </row>
    <row r="417" spans="1:22">
      <c r="A417" t="s">
        <v>665</v>
      </c>
      <c r="B417" t="s">
        <v>148</v>
      </c>
      <c r="C417" t="s">
        <v>149</v>
      </c>
      <c r="D417" t="s">
        <v>64</v>
      </c>
      <c r="E417" t="s">
        <v>65</v>
      </c>
      <c r="F417" t="s">
        <v>38</v>
      </c>
      <c r="G417" t="s">
        <v>76</v>
      </c>
      <c r="H417" t="s">
        <v>646</v>
      </c>
      <c r="I417" t="s">
        <v>29</v>
      </c>
      <c r="J417" t="s">
        <v>29</v>
      </c>
      <c r="K417" t="s">
        <v>178</v>
      </c>
      <c r="L417" s="4">
        <v>45859</v>
      </c>
      <c r="M417" s="4">
        <v>45862</v>
      </c>
      <c r="N417" s="4">
        <v>45859</v>
      </c>
      <c r="O417" t="s">
        <v>32</v>
      </c>
      <c r="P417" s="5">
        <v>1</v>
      </c>
      <c r="Q417" s="6">
        <v>25600</v>
      </c>
      <c r="R417" s="6">
        <v>26314.17</v>
      </c>
      <c r="S417">
        <v>2</v>
      </c>
      <c r="T417">
        <f t="shared" si="12"/>
        <v>0</v>
      </c>
      <c r="U417">
        <f>IF(COUNTIFS($B$2:B417,B417,$F$2:F417,F417)=1,1,0)</f>
        <v>0</v>
      </c>
      <c r="V417" s="13">
        <f t="shared" si="13"/>
        <v>-714.16999999999825</v>
      </c>
    </row>
    <row r="418" spans="1:22">
      <c r="A418" t="s">
        <v>666</v>
      </c>
      <c r="B418" t="s">
        <v>151</v>
      </c>
      <c r="C418" t="s">
        <v>152</v>
      </c>
      <c r="D418" t="s">
        <v>73</v>
      </c>
      <c r="E418" t="s">
        <v>74</v>
      </c>
      <c r="F418" t="s">
        <v>48</v>
      </c>
      <c r="G418" t="s">
        <v>84</v>
      </c>
      <c r="H418" t="s">
        <v>648</v>
      </c>
      <c r="I418" t="s">
        <v>69</v>
      </c>
      <c r="J418" t="s">
        <v>29</v>
      </c>
      <c r="K418" t="s">
        <v>178</v>
      </c>
      <c r="L418" s="4">
        <v>46107</v>
      </c>
      <c r="M418" s="4">
        <v>46116</v>
      </c>
      <c r="N418" s="4">
        <v>46123</v>
      </c>
      <c r="O418" t="s">
        <v>32</v>
      </c>
      <c r="P418" s="5">
        <v>1</v>
      </c>
      <c r="Q418" s="6">
        <v>19500</v>
      </c>
      <c r="R418" s="6">
        <v>18768.36</v>
      </c>
      <c r="S418">
        <v>1</v>
      </c>
      <c r="T418">
        <f t="shared" si="12"/>
        <v>7</v>
      </c>
      <c r="U418">
        <f>IF(COUNTIFS($B$2:B418,B418,$F$2:F418,F418)=1,1,0)</f>
        <v>0</v>
      </c>
      <c r="V418" s="13">
        <f t="shared" si="13"/>
        <v>731.63999999999942</v>
      </c>
    </row>
    <row r="419" spans="1:22">
      <c r="A419" t="s">
        <v>667</v>
      </c>
      <c r="B419" t="s">
        <v>154</v>
      </c>
      <c r="C419" t="s">
        <v>155</v>
      </c>
      <c r="D419" t="s">
        <v>82</v>
      </c>
      <c r="E419" t="s">
        <v>83</v>
      </c>
      <c r="F419" t="s">
        <v>58</v>
      </c>
      <c r="G419" t="s">
        <v>90</v>
      </c>
      <c r="H419" t="s">
        <v>632</v>
      </c>
      <c r="I419" t="s">
        <v>29</v>
      </c>
      <c r="J419" t="s">
        <v>30</v>
      </c>
      <c r="K419" t="s">
        <v>41</v>
      </c>
      <c r="L419" s="4">
        <v>46044</v>
      </c>
      <c r="M419" s="4">
        <v>46050</v>
      </c>
      <c r="N419" s="4"/>
      <c r="O419" t="s">
        <v>52</v>
      </c>
      <c r="P419" s="5">
        <v>0.9</v>
      </c>
      <c r="Q419" s="6">
        <v>26200</v>
      </c>
      <c r="R419" s="6">
        <v>23981.69</v>
      </c>
      <c r="S419">
        <v>3</v>
      </c>
      <c r="T419" t="str">
        <f t="shared" si="12"/>
        <v/>
      </c>
      <c r="U419">
        <f>IF(COUNTIFS($B$2:B419,B419,$F$2:F419,F419)=1,1,0)</f>
        <v>0</v>
      </c>
      <c r="V419" s="13">
        <f t="shared" si="13"/>
        <v>2218.3100000000013</v>
      </c>
    </row>
    <row r="420" spans="1:22">
      <c r="A420" t="s">
        <v>668</v>
      </c>
      <c r="B420" t="s">
        <v>157</v>
      </c>
      <c r="C420" t="s">
        <v>158</v>
      </c>
      <c r="D420" t="s">
        <v>24</v>
      </c>
      <c r="E420" t="s">
        <v>25</v>
      </c>
      <c r="F420" t="s">
        <v>66</v>
      </c>
      <c r="G420" t="s">
        <v>95</v>
      </c>
      <c r="H420" t="s">
        <v>634</v>
      </c>
      <c r="I420" t="s">
        <v>86</v>
      </c>
      <c r="J420" t="s">
        <v>29</v>
      </c>
      <c r="K420" t="s">
        <v>51</v>
      </c>
      <c r="L420" s="4">
        <v>46040</v>
      </c>
      <c r="M420" s="4">
        <v>46052</v>
      </c>
      <c r="N420" s="4">
        <v>46058</v>
      </c>
      <c r="O420" t="s">
        <v>32</v>
      </c>
      <c r="P420" s="5">
        <v>1</v>
      </c>
      <c r="Q420" s="6">
        <v>12400</v>
      </c>
      <c r="R420" s="6">
        <v>13231.32</v>
      </c>
      <c r="S420">
        <v>3</v>
      </c>
      <c r="T420">
        <f t="shared" si="12"/>
        <v>6</v>
      </c>
      <c r="U420">
        <f>IF(COUNTIFS($B$2:B420,B420,$F$2:F420,F420)=1,1,0)</f>
        <v>0</v>
      </c>
      <c r="V420" s="13">
        <f t="shared" si="13"/>
        <v>-831.31999999999971</v>
      </c>
    </row>
    <row r="421" spans="1:22">
      <c r="A421" t="s">
        <v>669</v>
      </c>
      <c r="B421" t="s">
        <v>160</v>
      </c>
      <c r="C421" t="s">
        <v>161</v>
      </c>
      <c r="D421" t="s">
        <v>36</v>
      </c>
      <c r="E421" t="s">
        <v>37</v>
      </c>
      <c r="F421" t="s">
        <v>75</v>
      </c>
      <c r="G421" t="s">
        <v>39</v>
      </c>
      <c r="H421" t="s">
        <v>638</v>
      </c>
      <c r="I421" t="s">
        <v>86</v>
      </c>
      <c r="J421" t="s">
        <v>30</v>
      </c>
      <c r="K421" t="s">
        <v>78</v>
      </c>
      <c r="L421" s="4">
        <v>46002</v>
      </c>
      <c r="M421" s="4">
        <v>46008</v>
      </c>
      <c r="N421" s="4"/>
      <c r="O421" t="s">
        <v>52</v>
      </c>
      <c r="P421" s="5">
        <v>0.25</v>
      </c>
      <c r="Q421" s="6">
        <v>40700</v>
      </c>
      <c r="R421" s="6">
        <v>39489.449999999997</v>
      </c>
      <c r="S421">
        <v>2</v>
      </c>
      <c r="T421" t="str">
        <f t="shared" si="12"/>
        <v/>
      </c>
      <c r="U421">
        <f>IF(COUNTIFS($B$2:B421,B421,$F$2:F421,F421)=1,1,0)</f>
        <v>0</v>
      </c>
      <c r="V421" s="13">
        <f t="shared" si="13"/>
        <v>1210.5500000000029</v>
      </c>
    </row>
    <row r="422" spans="1:22">
      <c r="A422" t="s">
        <v>670</v>
      </c>
      <c r="B422" t="s">
        <v>22</v>
      </c>
      <c r="C422" t="s">
        <v>23</v>
      </c>
      <c r="D422" t="s">
        <v>24</v>
      </c>
      <c r="E422" t="s">
        <v>25</v>
      </c>
      <c r="F422" t="s">
        <v>26</v>
      </c>
      <c r="G422" t="s">
        <v>49</v>
      </c>
      <c r="H422" t="s">
        <v>671</v>
      </c>
      <c r="I422" t="s">
        <v>69</v>
      </c>
      <c r="J422" t="s">
        <v>30</v>
      </c>
      <c r="K422" t="s">
        <v>51</v>
      </c>
      <c r="L422" s="4">
        <v>46134</v>
      </c>
      <c r="M422" s="4">
        <v>46155</v>
      </c>
      <c r="N422" s="4"/>
      <c r="O422" t="s">
        <v>32</v>
      </c>
      <c r="P422" s="5">
        <v>0.5</v>
      </c>
      <c r="Q422" s="6">
        <v>43200</v>
      </c>
      <c r="R422" s="6">
        <v>46079.31</v>
      </c>
      <c r="S422">
        <v>2</v>
      </c>
      <c r="T422" t="str">
        <f t="shared" si="12"/>
        <v/>
      </c>
      <c r="U422">
        <f>IF(COUNTIFS($B$2:B422,B422,$F$2:F422,F422)=1,1,0)</f>
        <v>0</v>
      </c>
      <c r="V422" s="13">
        <f t="shared" si="13"/>
        <v>-2879.3099999999977</v>
      </c>
    </row>
    <row r="423" spans="1:22">
      <c r="A423" t="s">
        <v>672</v>
      </c>
      <c r="B423" t="s">
        <v>34</v>
      </c>
      <c r="C423" t="s">
        <v>35</v>
      </c>
      <c r="D423" t="s">
        <v>36</v>
      </c>
      <c r="E423" t="s">
        <v>37</v>
      </c>
      <c r="F423" t="s">
        <v>38</v>
      </c>
      <c r="G423" t="s">
        <v>59</v>
      </c>
      <c r="H423" t="s">
        <v>673</v>
      </c>
      <c r="I423" t="s">
        <v>69</v>
      </c>
      <c r="J423" t="s">
        <v>29</v>
      </c>
      <c r="K423" t="s">
        <v>51</v>
      </c>
      <c r="L423" s="4">
        <v>45790</v>
      </c>
      <c r="M423" s="4">
        <v>45819</v>
      </c>
      <c r="N423" s="4"/>
      <c r="O423" t="s">
        <v>32</v>
      </c>
      <c r="P423" s="5">
        <v>0.85</v>
      </c>
      <c r="Q423" s="6">
        <v>33400</v>
      </c>
      <c r="R423" s="6">
        <v>37016.39</v>
      </c>
      <c r="S423">
        <v>1</v>
      </c>
      <c r="T423" t="str">
        <f t="shared" si="12"/>
        <v/>
      </c>
      <c r="U423">
        <f>IF(COUNTIFS($B$2:B423,B423,$F$2:F423,F423)=1,1,0)</f>
        <v>0</v>
      </c>
      <c r="V423" s="13">
        <f t="shared" si="13"/>
        <v>-3616.3899999999994</v>
      </c>
    </row>
    <row r="424" spans="1:22">
      <c r="A424" t="s">
        <v>674</v>
      </c>
      <c r="B424" t="s">
        <v>44</v>
      </c>
      <c r="C424" t="s">
        <v>45</v>
      </c>
      <c r="D424" t="s">
        <v>46</v>
      </c>
      <c r="E424" t="s">
        <v>47</v>
      </c>
      <c r="F424" t="s">
        <v>48</v>
      </c>
      <c r="G424" t="s">
        <v>67</v>
      </c>
      <c r="H424" t="s">
        <v>675</v>
      </c>
      <c r="I424" t="s">
        <v>29</v>
      </c>
      <c r="J424" t="s">
        <v>30</v>
      </c>
      <c r="K424" t="s">
        <v>143</v>
      </c>
      <c r="L424" s="4">
        <v>45719</v>
      </c>
      <c r="M424" s="4">
        <v>45742</v>
      </c>
      <c r="N424" s="4">
        <v>45752</v>
      </c>
      <c r="O424" t="s">
        <v>32</v>
      </c>
      <c r="P424" s="5">
        <v>1</v>
      </c>
      <c r="Q424" s="6">
        <v>7600</v>
      </c>
      <c r="R424" s="6">
        <v>6365.63</v>
      </c>
      <c r="S424">
        <v>0</v>
      </c>
      <c r="T424">
        <f t="shared" si="12"/>
        <v>10</v>
      </c>
      <c r="U424">
        <f>IF(COUNTIFS($B$2:B424,B424,$F$2:F424,F424)=1,1,0)</f>
        <v>0</v>
      </c>
      <c r="V424" s="13">
        <f t="shared" si="13"/>
        <v>1234.3699999999999</v>
      </c>
    </row>
    <row r="425" spans="1:22">
      <c r="A425" t="s">
        <v>676</v>
      </c>
      <c r="B425" t="s">
        <v>54</v>
      </c>
      <c r="C425" t="s">
        <v>55</v>
      </c>
      <c r="D425" t="s">
        <v>56</v>
      </c>
      <c r="E425" t="s">
        <v>57</v>
      </c>
      <c r="F425" t="s">
        <v>58</v>
      </c>
      <c r="G425" t="s">
        <v>76</v>
      </c>
      <c r="H425" t="s">
        <v>677</v>
      </c>
      <c r="I425" t="s">
        <v>69</v>
      </c>
      <c r="J425" t="s">
        <v>30</v>
      </c>
      <c r="K425" t="s">
        <v>31</v>
      </c>
      <c r="L425" s="4">
        <v>46046</v>
      </c>
      <c r="M425" s="4">
        <v>46076</v>
      </c>
      <c r="N425" s="4">
        <v>46077</v>
      </c>
      <c r="O425" t="s">
        <v>32</v>
      </c>
      <c r="P425" s="5">
        <v>1</v>
      </c>
      <c r="Q425" s="6">
        <v>2900</v>
      </c>
      <c r="R425" s="6">
        <v>2674.96</v>
      </c>
      <c r="S425">
        <v>1</v>
      </c>
      <c r="T425">
        <f t="shared" si="12"/>
        <v>1</v>
      </c>
      <c r="U425">
        <f>IF(COUNTIFS($B$2:B425,B425,$F$2:F425,F425)=1,1,0)</f>
        <v>0</v>
      </c>
      <c r="V425" s="13">
        <f t="shared" si="13"/>
        <v>225.03999999999996</v>
      </c>
    </row>
    <row r="426" spans="1:22">
      <c r="A426" t="s">
        <v>678</v>
      </c>
      <c r="B426" t="s">
        <v>62</v>
      </c>
      <c r="C426" t="s">
        <v>63</v>
      </c>
      <c r="D426" t="s">
        <v>64</v>
      </c>
      <c r="E426" t="s">
        <v>65</v>
      </c>
      <c r="F426" t="s">
        <v>66</v>
      </c>
      <c r="G426" t="s">
        <v>84</v>
      </c>
      <c r="H426" t="s">
        <v>679</v>
      </c>
      <c r="I426" t="s">
        <v>69</v>
      </c>
      <c r="J426" t="s">
        <v>69</v>
      </c>
      <c r="K426" t="s">
        <v>143</v>
      </c>
      <c r="L426" s="4">
        <v>45942</v>
      </c>
      <c r="M426" s="4">
        <v>45962</v>
      </c>
      <c r="N426" s="4">
        <v>45965</v>
      </c>
      <c r="O426" t="s">
        <v>32</v>
      </c>
      <c r="P426" s="5">
        <v>1</v>
      </c>
      <c r="Q426" s="6">
        <v>11200</v>
      </c>
      <c r="R426" s="6">
        <v>10822.91</v>
      </c>
      <c r="S426">
        <v>3</v>
      </c>
      <c r="T426">
        <f t="shared" si="12"/>
        <v>3</v>
      </c>
      <c r="U426">
        <f>IF(COUNTIFS($B$2:B426,B426,$F$2:F426,F426)=1,1,0)</f>
        <v>0</v>
      </c>
      <c r="V426" s="13">
        <f t="shared" si="13"/>
        <v>377.09000000000015</v>
      </c>
    </row>
    <row r="427" spans="1:22">
      <c r="A427" t="s">
        <v>680</v>
      </c>
      <c r="B427" t="s">
        <v>71</v>
      </c>
      <c r="C427" t="s">
        <v>72</v>
      </c>
      <c r="D427" t="s">
        <v>73</v>
      </c>
      <c r="E427" t="s">
        <v>74</v>
      </c>
      <c r="F427" t="s">
        <v>75</v>
      </c>
      <c r="G427" t="s">
        <v>90</v>
      </c>
      <c r="H427" t="s">
        <v>681</v>
      </c>
      <c r="I427" t="s">
        <v>29</v>
      </c>
      <c r="J427" t="s">
        <v>30</v>
      </c>
      <c r="K427" t="s">
        <v>143</v>
      </c>
      <c r="L427" s="4">
        <v>45889</v>
      </c>
      <c r="M427" s="4">
        <v>45903</v>
      </c>
      <c r="N427" s="4">
        <v>45894</v>
      </c>
      <c r="O427" t="s">
        <v>32</v>
      </c>
      <c r="P427" s="5">
        <v>1</v>
      </c>
      <c r="Q427" s="6">
        <v>30300</v>
      </c>
      <c r="R427" s="6">
        <v>34394.699999999997</v>
      </c>
      <c r="S427">
        <v>0</v>
      </c>
      <c r="T427">
        <f t="shared" si="12"/>
        <v>0</v>
      </c>
      <c r="U427">
        <f>IF(COUNTIFS($B$2:B427,B427,$F$2:F427,F427)=1,1,0)</f>
        <v>0</v>
      </c>
      <c r="V427" s="13">
        <f t="shared" si="13"/>
        <v>-4094.6999999999971</v>
      </c>
    </row>
    <row r="428" spans="1:22">
      <c r="A428" t="s">
        <v>682</v>
      </c>
      <c r="B428" t="s">
        <v>80</v>
      </c>
      <c r="C428" t="s">
        <v>81</v>
      </c>
      <c r="D428" t="s">
        <v>82</v>
      </c>
      <c r="E428" t="s">
        <v>83</v>
      </c>
      <c r="F428" t="s">
        <v>26</v>
      </c>
      <c r="G428" t="s">
        <v>95</v>
      </c>
      <c r="H428" t="s">
        <v>683</v>
      </c>
      <c r="I428" t="s">
        <v>69</v>
      </c>
      <c r="J428" t="s">
        <v>30</v>
      </c>
      <c r="K428" t="s">
        <v>143</v>
      </c>
      <c r="L428" s="4">
        <v>45891</v>
      </c>
      <c r="M428" s="4">
        <v>45899</v>
      </c>
      <c r="N428" s="4"/>
      <c r="O428" t="s">
        <v>32</v>
      </c>
      <c r="P428" s="5">
        <v>0</v>
      </c>
      <c r="Q428" s="6">
        <v>42800</v>
      </c>
      <c r="R428" s="6">
        <v>0</v>
      </c>
      <c r="S428">
        <v>0</v>
      </c>
      <c r="T428" t="str">
        <f t="shared" si="12"/>
        <v/>
      </c>
      <c r="U428">
        <f>IF(COUNTIFS($B$2:B428,B428,$F$2:F428,F428)=1,1,0)</f>
        <v>0</v>
      </c>
      <c r="V428" s="13">
        <f t="shared" si="13"/>
        <v>42800</v>
      </c>
    </row>
    <row r="429" spans="1:22">
      <c r="A429" t="s">
        <v>684</v>
      </c>
      <c r="B429" t="s">
        <v>88</v>
      </c>
      <c r="C429" t="s">
        <v>89</v>
      </c>
      <c r="D429" t="s">
        <v>24</v>
      </c>
      <c r="E429" t="s">
        <v>25</v>
      </c>
      <c r="F429" t="s">
        <v>38</v>
      </c>
      <c r="G429" t="s">
        <v>27</v>
      </c>
      <c r="H429" t="s">
        <v>685</v>
      </c>
      <c r="I429" t="s">
        <v>69</v>
      </c>
      <c r="J429" t="s">
        <v>30</v>
      </c>
      <c r="K429" t="s">
        <v>31</v>
      </c>
      <c r="L429" s="4">
        <v>45790</v>
      </c>
      <c r="M429" s="4">
        <v>45817</v>
      </c>
      <c r="N429" s="4">
        <v>45825</v>
      </c>
      <c r="O429" t="s">
        <v>32</v>
      </c>
      <c r="P429" s="5">
        <v>1</v>
      </c>
      <c r="Q429" s="6">
        <v>3400</v>
      </c>
      <c r="R429" s="6">
        <v>3606.2</v>
      </c>
      <c r="S429">
        <v>2</v>
      </c>
      <c r="T429">
        <f t="shared" si="12"/>
        <v>8</v>
      </c>
      <c r="U429">
        <f>IF(COUNTIFS($B$2:B429,B429,$F$2:F429,F429)=1,1,0)</f>
        <v>0</v>
      </c>
      <c r="V429" s="13">
        <f t="shared" si="13"/>
        <v>-206.19999999999982</v>
      </c>
    </row>
    <row r="430" spans="1:22">
      <c r="A430" t="s">
        <v>686</v>
      </c>
      <c r="B430" t="s">
        <v>93</v>
      </c>
      <c r="C430" t="s">
        <v>94</v>
      </c>
      <c r="D430" t="s">
        <v>36</v>
      </c>
      <c r="E430" t="s">
        <v>37</v>
      </c>
      <c r="F430" t="s">
        <v>48</v>
      </c>
      <c r="G430" t="s">
        <v>39</v>
      </c>
      <c r="H430" t="s">
        <v>687</v>
      </c>
      <c r="I430" t="s">
        <v>29</v>
      </c>
      <c r="J430" t="s">
        <v>30</v>
      </c>
      <c r="K430" t="s">
        <v>143</v>
      </c>
      <c r="L430" s="4">
        <v>46051</v>
      </c>
      <c r="M430" s="4">
        <v>46055</v>
      </c>
      <c r="N430" s="4"/>
      <c r="O430" t="s">
        <v>52</v>
      </c>
      <c r="P430" s="5">
        <v>0.3</v>
      </c>
      <c r="Q430" s="6">
        <v>6000</v>
      </c>
      <c r="R430" s="6">
        <v>7508.04</v>
      </c>
      <c r="S430">
        <v>3</v>
      </c>
      <c r="T430" t="str">
        <f t="shared" si="12"/>
        <v/>
      </c>
      <c r="U430">
        <f>IF(COUNTIFS($B$2:B430,B430,$F$2:F430,F430)=1,1,0)</f>
        <v>0</v>
      </c>
      <c r="V430" s="13">
        <f t="shared" si="13"/>
        <v>-1508.04</v>
      </c>
    </row>
    <row r="431" spans="1:22">
      <c r="A431" t="s">
        <v>688</v>
      </c>
      <c r="B431" t="s">
        <v>98</v>
      </c>
      <c r="C431" t="s">
        <v>99</v>
      </c>
      <c r="D431" t="s">
        <v>46</v>
      </c>
      <c r="E431" t="s">
        <v>47</v>
      </c>
      <c r="F431" t="s">
        <v>58</v>
      </c>
      <c r="G431" t="s">
        <v>49</v>
      </c>
      <c r="H431" t="s">
        <v>671</v>
      </c>
      <c r="I431" t="s">
        <v>29</v>
      </c>
      <c r="J431" t="s">
        <v>29</v>
      </c>
      <c r="K431" t="s">
        <v>51</v>
      </c>
      <c r="L431" s="4">
        <v>45860</v>
      </c>
      <c r="M431" s="4">
        <v>45868</v>
      </c>
      <c r="N431" s="4"/>
      <c r="O431" t="s">
        <v>52</v>
      </c>
      <c r="P431" s="5">
        <v>0.6</v>
      </c>
      <c r="Q431" s="6">
        <v>17400</v>
      </c>
      <c r="R431" s="6">
        <v>17213.73</v>
      </c>
      <c r="S431">
        <v>0</v>
      </c>
      <c r="T431" t="str">
        <f t="shared" si="12"/>
        <v/>
      </c>
      <c r="U431">
        <f>IF(COUNTIFS($B$2:B431,B431,$F$2:F431,F431)=1,1,0)</f>
        <v>0</v>
      </c>
      <c r="V431" s="13">
        <f t="shared" si="13"/>
        <v>186.27000000000044</v>
      </c>
    </row>
    <row r="432" spans="1:22">
      <c r="A432" t="s">
        <v>689</v>
      </c>
      <c r="B432" t="s">
        <v>101</v>
      </c>
      <c r="C432" t="s">
        <v>102</v>
      </c>
      <c r="D432" t="s">
        <v>56</v>
      </c>
      <c r="E432" t="s">
        <v>57</v>
      </c>
      <c r="F432" t="s">
        <v>66</v>
      </c>
      <c r="G432" t="s">
        <v>59</v>
      </c>
      <c r="H432" t="s">
        <v>673</v>
      </c>
      <c r="I432" t="s">
        <v>29</v>
      </c>
      <c r="J432" t="s">
        <v>30</v>
      </c>
      <c r="K432" t="s">
        <v>178</v>
      </c>
      <c r="L432" s="4">
        <v>46141</v>
      </c>
      <c r="M432" s="4">
        <v>46156</v>
      </c>
      <c r="N432" s="4"/>
      <c r="O432" t="s">
        <v>52</v>
      </c>
      <c r="P432" s="5">
        <v>0.9</v>
      </c>
      <c r="Q432" s="6">
        <v>16500</v>
      </c>
      <c r="R432" s="6">
        <v>13998.5</v>
      </c>
      <c r="S432">
        <v>2</v>
      </c>
      <c r="T432" t="str">
        <f t="shared" si="12"/>
        <v/>
      </c>
      <c r="U432">
        <f>IF(COUNTIFS($B$2:B432,B432,$F$2:F432,F432)=1,1,0)</f>
        <v>0</v>
      </c>
      <c r="V432" s="13">
        <f t="shared" si="13"/>
        <v>2501.5</v>
      </c>
    </row>
    <row r="433" spans="1:22">
      <c r="A433" t="s">
        <v>690</v>
      </c>
      <c r="B433" t="s">
        <v>104</v>
      </c>
      <c r="C433" t="s">
        <v>105</v>
      </c>
      <c r="D433" t="s">
        <v>64</v>
      </c>
      <c r="E433" t="s">
        <v>65</v>
      </c>
      <c r="F433" t="s">
        <v>75</v>
      </c>
      <c r="G433" t="s">
        <v>67</v>
      </c>
      <c r="H433" t="s">
        <v>675</v>
      </c>
      <c r="I433" t="s">
        <v>30</v>
      </c>
      <c r="J433" t="s">
        <v>69</v>
      </c>
      <c r="K433" t="s">
        <v>31</v>
      </c>
      <c r="L433" s="4">
        <v>46100</v>
      </c>
      <c r="M433" s="4">
        <v>46105</v>
      </c>
      <c r="N433" s="4">
        <v>46093</v>
      </c>
      <c r="O433" t="s">
        <v>32</v>
      </c>
      <c r="P433" s="5">
        <v>1</v>
      </c>
      <c r="Q433" s="6">
        <v>13700</v>
      </c>
      <c r="R433" s="6">
        <v>15176.26</v>
      </c>
      <c r="S433">
        <v>4</v>
      </c>
      <c r="T433">
        <f t="shared" si="12"/>
        <v>0</v>
      </c>
      <c r="U433">
        <f>IF(COUNTIFS($B$2:B433,B433,$F$2:F433,F433)=1,1,0)</f>
        <v>0</v>
      </c>
      <c r="V433" s="13">
        <f t="shared" si="13"/>
        <v>-1476.2600000000002</v>
      </c>
    </row>
    <row r="434" spans="1:22">
      <c r="A434" t="s">
        <v>691</v>
      </c>
      <c r="B434" t="s">
        <v>107</v>
      </c>
      <c r="C434" t="s">
        <v>108</v>
      </c>
      <c r="D434" t="s">
        <v>73</v>
      </c>
      <c r="E434" t="s">
        <v>74</v>
      </c>
      <c r="F434" t="s">
        <v>26</v>
      </c>
      <c r="G434" t="s">
        <v>76</v>
      </c>
      <c r="H434" t="s">
        <v>677</v>
      </c>
      <c r="I434" t="s">
        <v>69</v>
      </c>
      <c r="J434" t="s">
        <v>29</v>
      </c>
      <c r="K434" t="s">
        <v>51</v>
      </c>
      <c r="L434" s="4">
        <v>46048</v>
      </c>
      <c r="M434" s="4">
        <v>46076</v>
      </c>
      <c r="N434" s="4"/>
      <c r="O434" t="s">
        <v>52</v>
      </c>
      <c r="P434" s="5">
        <v>0.25</v>
      </c>
      <c r="Q434" s="6">
        <v>22400</v>
      </c>
      <c r="R434" s="6">
        <v>21167.97</v>
      </c>
      <c r="S434">
        <v>2</v>
      </c>
      <c r="T434" t="str">
        <f t="shared" si="12"/>
        <v/>
      </c>
      <c r="U434">
        <f>IF(COUNTIFS($B$2:B434,B434,$F$2:F434,F434)=1,1,0)</f>
        <v>0</v>
      </c>
      <c r="V434" s="13">
        <f t="shared" si="13"/>
        <v>1232.0299999999988</v>
      </c>
    </row>
    <row r="435" spans="1:22">
      <c r="A435" t="s">
        <v>692</v>
      </c>
      <c r="B435" t="s">
        <v>111</v>
      </c>
      <c r="C435" t="s">
        <v>112</v>
      </c>
      <c r="D435" t="s">
        <v>82</v>
      </c>
      <c r="E435" t="s">
        <v>83</v>
      </c>
      <c r="F435" t="s">
        <v>38</v>
      </c>
      <c r="G435" t="s">
        <v>84</v>
      </c>
      <c r="H435" t="s">
        <v>679</v>
      </c>
      <c r="I435" t="s">
        <v>29</v>
      </c>
      <c r="J435" t="s">
        <v>29</v>
      </c>
      <c r="K435" t="s">
        <v>31</v>
      </c>
      <c r="L435" s="4">
        <v>45718</v>
      </c>
      <c r="M435" s="4">
        <v>45725</v>
      </c>
      <c r="N435" s="4">
        <v>45732</v>
      </c>
      <c r="O435" t="s">
        <v>32</v>
      </c>
      <c r="P435" s="5">
        <v>1</v>
      </c>
      <c r="Q435" s="6">
        <v>3200</v>
      </c>
      <c r="R435" s="6">
        <v>3684.71</v>
      </c>
      <c r="S435">
        <v>1</v>
      </c>
      <c r="T435">
        <f t="shared" si="12"/>
        <v>7</v>
      </c>
      <c r="U435">
        <f>IF(COUNTIFS($B$2:B435,B435,$F$2:F435,F435)=1,1,0)</f>
        <v>0</v>
      </c>
      <c r="V435" s="13">
        <f t="shared" si="13"/>
        <v>-484.71000000000004</v>
      </c>
    </row>
    <row r="436" spans="1:22">
      <c r="A436" t="s">
        <v>693</v>
      </c>
      <c r="B436" t="s">
        <v>114</v>
      </c>
      <c r="C436" t="s">
        <v>115</v>
      </c>
      <c r="D436" t="s">
        <v>24</v>
      </c>
      <c r="E436" t="s">
        <v>25</v>
      </c>
      <c r="F436" t="s">
        <v>48</v>
      </c>
      <c r="G436" t="s">
        <v>90</v>
      </c>
      <c r="H436" t="s">
        <v>681</v>
      </c>
      <c r="I436" t="s">
        <v>29</v>
      </c>
      <c r="J436" t="s">
        <v>30</v>
      </c>
      <c r="K436" t="s">
        <v>178</v>
      </c>
      <c r="L436" s="4">
        <v>46109</v>
      </c>
      <c r="M436" s="4">
        <v>46132</v>
      </c>
      <c r="N436" s="4"/>
      <c r="O436" t="s">
        <v>42</v>
      </c>
      <c r="P436" s="5">
        <v>0</v>
      </c>
      <c r="Q436" s="6">
        <v>32800</v>
      </c>
      <c r="R436" s="6">
        <v>0</v>
      </c>
      <c r="S436">
        <v>1</v>
      </c>
      <c r="T436" t="str">
        <f t="shared" si="12"/>
        <v/>
      </c>
      <c r="U436">
        <f>IF(COUNTIFS($B$2:B436,B436,$F$2:F436,F436)=1,1,0)</f>
        <v>0</v>
      </c>
      <c r="V436" s="13">
        <f t="shared" si="13"/>
        <v>32800</v>
      </c>
    </row>
    <row r="437" spans="1:22">
      <c r="A437" t="s">
        <v>694</v>
      </c>
      <c r="B437" t="s">
        <v>117</v>
      </c>
      <c r="C437" t="s">
        <v>118</v>
      </c>
      <c r="D437" t="s">
        <v>36</v>
      </c>
      <c r="E437" t="s">
        <v>37</v>
      </c>
      <c r="F437" t="s">
        <v>58</v>
      </c>
      <c r="G437" t="s">
        <v>95</v>
      </c>
      <c r="H437" t="s">
        <v>683</v>
      </c>
      <c r="I437" t="s">
        <v>30</v>
      </c>
      <c r="J437" t="s">
        <v>30</v>
      </c>
      <c r="K437" t="s">
        <v>178</v>
      </c>
      <c r="L437" s="4">
        <v>46002</v>
      </c>
      <c r="M437" s="4">
        <v>46010</v>
      </c>
      <c r="N437" s="4"/>
      <c r="O437" t="s">
        <v>52</v>
      </c>
      <c r="P437" s="5">
        <v>0.6</v>
      </c>
      <c r="Q437" s="6">
        <v>27600</v>
      </c>
      <c r="R437" s="6">
        <v>26044.63</v>
      </c>
      <c r="S437">
        <v>2</v>
      </c>
      <c r="T437" t="str">
        <f t="shared" si="12"/>
        <v/>
      </c>
      <c r="U437">
        <f>IF(COUNTIFS($B$2:B437,B437,$F$2:F437,F437)=1,1,0)</f>
        <v>0</v>
      </c>
      <c r="V437" s="13">
        <f t="shared" si="13"/>
        <v>1555.369999999999</v>
      </c>
    </row>
    <row r="438" spans="1:22">
      <c r="A438" t="s">
        <v>695</v>
      </c>
      <c r="B438" t="s">
        <v>120</v>
      </c>
      <c r="C438" t="s">
        <v>121</v>
      </c>
      <c r="D438" t="s">
        <v>46</v>
      </c>
      <c r="E438" t="s">
        <v>47</v>
      </c>
      <c r="F438" t="s">
        <v>66</v>
      </c>
      <c r="G438" t="s">
        <v>27</v>
      </c>
      <c r="H438" t="s">
        <v>685</v>
      </c>
      <c r="I438" t="s">
        <v>29</v>
      </c>
      <c r="J438" t="s">
        <v>29</v>
      </c>
      <c r="K438" t="s">
        <v>31</v>
      </c>
      <c r="L438" s="4">
        <v>45766</v>
      </c>
      <c r="M438" s="4">
        <v>45783</v>
      </c>
      <c r="N438" s="4">
        <v>45773</v>
      </c>
      <c r="O438" t="s">
        <v>32</v>
      </c>
      <c r="P438" s="5">
        <v>1</v>
      </c>
      <c r="Q438" s="6">
        <v>4500</v>
      </c>
      <c r="R438" s="6">
        <v>4399.87</v>
      </c>
      <c r="S438">
        <v>2</v>
      </c>
      <c r="T438">
        <f t="shared" si="12"/>
        <v>0</v>
      </c>
      <c r="U438">
        <f>IF(COUNTIFS($B$2:B438,B438,$F$2:F438,F438)=1,1,0)</f>
        <v>0</v>
      </c>
      <c r="V438" s="13">
        <f t="shared" si="13"/>
        <v>100.13000000000011</v>
      </c>
    </row>
    <row r="439" spans="1:22">
      <c r="A439" t="s">
        <v>696</v>
      </c>
      <c r="B439" t="s">
        <v>123</v>
      </c>
      <c r="C439" t="s">
        <v>124</v>
      </c>
      <c r="D439" t="s">
        <v>56</v>
      </c>
      <c r="E439" t="s">
        <v>57</v>
      </c>
      <c r="F439" t="s">
        <v>75</v>
      </c>
      <c r="G439" t="s">
        <v>39</v>
      </c>
      <c r="H439" t="s">
        <v>687</v>
      </c>
      <c r="I439" t="s">
        <v>30</v>
      </c>
      <c r="J439" t="s">
        <v>29</v>
      </c>
      <c r="K439" t="s">
        <v>178</v>
      </c>
      <c r="L439" s="4">
        <v>45785</v>
      </c>
      <c r="M439" s="4">
        <v>45814</v>
      </c>
      <c r="N439" s="4"/>
      <c r="O439" t="s">
        <v>42</v>
      </c>
      <c r="P439" s="5">
        <v>0</v>
      </c>
      <c r="Q439" s="6">
        <v>5700</v>
      </c>
      <c r="R439" s="6">
        <v>0</v>
      </c>
      <c r="S439">
        <v>2</v>
      </c>
      <c r="T439" t="str">
        <f t="shared" si="12"/>
        <v/>
      </c>
      <c r="U439">
        <f>IF(COUNTIFS($B$2:B439,B439,$F$2:F439,F439)=1,1,0)</f>
        <v>0</v>
      </c>
      <c r="V439" s="13">
        <f t="shared" si="13"/>
        <v>5700</v>
      </c>
    </row>
    <row r="440" spans="1:22">
      <c r="A440" t="s">
        <v>697</v>
      </c>
      <c r="B440" t="s">
        <v>126</v>
      </c>
      <c r="C440" t="s">
        <v>127</v>
      </c>
      <c r="D440" t="s">
        <v>64</v>
      </c>
      <c r="E440" t="s">
        <v>65</v>
      </c>
      <c r="F440" t="s">
        <v>26</v>
      </c>
      <c r="G440" t="s">
        <v>49</v>
      </c>
      <c r="H440" t="s">
        <v>671</v>
      </c>
      <c r="I440" t="s">
        <v>30</v>
      </c>
      <c r="J440" t="s">
        <v>29</v>
      </c>
      <c r="K440" t="s">
        <v>143</v>
      </c>
      <c r="L440" s="4">
        <v>45740</v>
      </c>
      <c r="M440" s="4">
        <v>45745</v>
      </c>
      <c r="N440" s="4">
        <v>45754</v>
      </c>
      <c r="O440" t="s">
        <v>32</v>
      </c>
      <c r="P440" s="5">
        <v>1</v>
      </c>
      <c r="Q440" s="6">
        <v>37500</v>
      </c>
      <c r="R440" s="6">
        <v>42347.92</v>
      </c>
      <c r="S440">
        <v>3</v>
      </c>
      <c r="T440">
        <f t="shared" si="12"/>
        <v>9</v>
      </c>
      <c r="U440">
        <f>IF(COUNTIFS($B$2:B440,B440,$F$2:F440,F440)=1,1,0)</f>
        <v>0</v>
      </c>
      <c r="V440" s="13">
        <f t="shared" si="13"/>
        <v>-4847.9199999999983</v>
      </c>
    </row>
    <row r="441" spans="1:22">
      <c r="A441" t="s">
        <v>698</v>
      </c>
      <c r="B441" t="s">
        <v>129</v>
      </c>
      <c r="C441" t="s">
        <v>130</v>
      </c>
      <c r="D441" t="s">
        <v>73</v>
      </c>
      <c r="E441" t="s">
        <v>74</v>
      </c>
      <c r="F441" t="s">
        <v>38</v>
      </c>
      <c r="G441" t="s">
        <v>59</v>
      </c>
      <c r="H441" t="s">
        <v>673</v>
      </c>
      <c r="I441" t="s">
        <v>69</v>
      </c>
      <c r="J441" t="s">
        <v>29</v>
      </c>
      <c r="K441" t="s">
        <v>31</v>
      </c>
      <c r="L441" s="4">
        <v>45785</v>
      </c>
      <c r="M441" s="4">
        <v>45810</v>
      </c>
      <c r="N441" s="4">
        <v>45805</v>
      </c>
      <c r="O441" t="s">
        <v>32</v>
      </c>
      <c r="P441" s="5">
        <v>1</v>
      </c>
      <c r="Q441" s="6">
        <v>11500</v>
      </c>
      <c r="R441" s="6">
        <v>12450.78</v>
      </c>
      <c r="S441">
        <v>0</v>
      </c>
      <c r="T441">
        <f t="shared" si="12"/>
        <v>0</v>
      </c>
      <c r="U441">
        <f>IF(COUNTIFS($B$2:B441,B441,$F$2:F441,F441)=1,1,0)</f>
        <v>0</v>
      </c>
      <c r="V441" s="13">
        <f t="shared" si="13"/>
        <v>-950.78000000000065</v>
      </c>
    </row>
    <row r="442" spans="1:22">
      <c r="A442" t="s">
        <v>699</v>
      </c>
      <c r="B442" t="s">
        <v>132</v>
      </c>
      <c r="C442" t="s">
        <v>133</v>
      </c>
      <c r="D442" t="s">
        <v>82</v>
      </c>
      <c r="E442" t="s">
        <v>83</v>
      </c>
      <c r="F442" t="s">
        <v>48</v>
      </c>
      <c r="G442" t="s">
        <v>67</v>
      </c>
      <c r="H442" t="s">
        <v>675</v>
      </c>
      <c r="I442" t="s">
        <v>29</v>
      </c>
      <c r="J442" t="s">
        <v>29</v>
      </c>
      <c r="K442" t="s">
        <v>78</v>
      </c>
      <c r="L442" s="4">
        <v>45929</v>
      </c>
      <c r="M442" s="4">
        <v>45935</v>
      </c>
      <c r="N442" s="4"/>
      <c r="O442" t="s">
        <v>52</v>
      </c>
      <c r="P442" s="5">
        <v>0.5</v>
      </c>
      <c r="Q442" s="6">
        <v>22300</v>
      </c>
      <c r="R442" s="6">
        <v>23278.47</v>
      </c>
      <c r="S442">
        <v>4</v>
      </c>
      <c r="T442" t="str">
        <f t="shared" si="12"/>
        <v/>
      </c>
      <c r="U442">
        <f>IF(COUNTIFS($B$2:B442,B442,$F$2:F442,F442)=1,1,0)</f>
        <v>0</v>
      </c>
      <c r="V442" s="13">
        <f t="shared" si="13"/>
        <v>-978.47000000000116</v>
      </c>
    </row>
    <row r="443" spans="1:22">
      <c r="A443" t="s">
        <v>700</v>
      </c>
      <c r="B443" t="s">
        <v>135</v>
      </c>
      <c r="C443" t="s">
        <v>136</v>
      </c>
      <c r="D443" t="s">
        <v>24</v>
      </c>
      <c r="E443" t="s">
        <v>25</v>
      </c>
      <c r="F443" t="s">
        <v>58</v>
      </c>
      <c r="G443" t="s">
        <v>76</v>
      </c>
      <c r="H443" t="s">
        <v>677</v>
      </c>
      <c r="I443" t="s">
        <v>29</v>
      </c>
      <c r="J443" t="s">
        <v>69</v>
      </c>
      <c r="K443" t="s">
        <v>31</v>
      </c>
      <c r="L443" s="4">
        <v>45969</v>
      </c>
      <c r="M443" s="4">
        <v>45972</v>
      </c>
      <c r="N443" s="4">
        <v>45976</v>
      </c>
      <c r="O443" t="s">
        <v>32</v>
      </c>
      <c r="P443" s="5">
        <v>1</v>
      </c>
      <c r="Q443" s="6">
        <v>6600</v>
      </c>
      <c r="R443" s="6">
        <v>6137.46</v>
      </c>
      <c r="S443">
        <v>5</v>
      </c>
      <c r="T443">
        <f t="shared" si="12"/>
        <v>4</v>
      </c>
      <c r="U443">
        <f>IF(COUNTIFS($B$2:B443,B443,$F$2:F443,F443)=1,1,0)</f>
        <v>0</v>
      </c>
      <c r="V443" s="13">
        <f t="shared" si="13"/>
        <v>462.53999999999996</v>
      </c>
    </row>
    <row r="444" spans="1:22">
      <c r="A444" t="s">
        <v>701</v>
      </c>
      <c r="B444" t="s">
        <v>138</v>
      </c>
      <c r="C444" t="s">
        <v>139</v>
      </c>
      <c r="D444" t="s">
        <v>36</v>
      </c>
      <c r="E444" t="s">
        <v>37</v>
      </c>
      <c r="F444" t="s">
        <v>66</v>
      </c>
      <c r="G444" t="s">
        <v>84</v>
      </c>
      <c r="H444" t="s">
        <v>679</v>
      </c>
      <c r="I444" t="s">
        <v>69</v>
      </c>
      <c r="J444" t="s">
        <v>30</v>
      </c>
      <c r="K444" t="s">
        <v>31</v>
      </c>
      <c r="L444" s="4">
        <v>46010</v>
      </c>
      <c r="M444" s="4">
        <v>46026</v>
      </c>
      <c r="N444" s="4">
        <v>46028</v>
      </c>
      <c r="O444" t="s">
        <v>32</v>
      </c>
      <c r="P444" s="5">
        <v>1</v>
      </c>
      <c r="Q444" s="6">
        <v>12500</v>
      </c>
      <c r="R444" s="6">
        <v>13634.43</v>
      </c>
      <c r="S444">
        <v>0</v>
      </c>
      <c r="T444">
        <f t="shared" si="12"/>
        <v>2</v>
      </c>
      <c r="U444">
        <f>IF(COUNTIFS($B$2:B444,B444,$F$2:F444,F444)=1,1,0)</f>
        <v>0</v>
      </c>
      <c r="V444" s="13">
        <f t="shared" si="13"/>
        <v>-1134.4300000000003</v>
      </c>
    </row>
    <row r="445" spans="1:22">
      <c r="A445" t="s">
        <v>702</v>
      </c>
      <c r="B445" t="s">
        <v>141</v>
      </c>
      <c r="C445" t="s">
        <v>142</v>
      </c>
      <c r="D445" t="s">
        <v>46</v>
      </c>
      <c r="E445" t="s">
        <v>47</v>
      </c>
      <c r="F445" t="s">
        <v>75</v>
      </c>
      <c r="G445" t="s">
        <v>90</v>
      </c>
      <c r="H445" t="s">
        <v>681</v>
      </c>
      <c r="I445" t="s">
        <v>29</v>
      </c>
      <c r="J445" t="s">
        <v>30</v>
      </c>
      <c r="K445" t="s">
        <v>78</v>
      </c>
      <c r="L445" s="4">
        <v>45728</v>
      </c>
      <c r="M445" s="4">
        <v>45744</v>
      </c>
      <c r="N445" s="4">
        <v>45742</v>
      </c>
      <c r="O445" t="s">
        <v>32</v>
      </c>
      <c r="P445" s="5">
        <v>1</v>
      </c>
      <c r="Q445" s="6">
        <v>25800</v>
      </c>
      <c r="R445" s="6">
        <v>25685.84</v>
      </c>
      <c r="S445">
        <v>0</v>
      </c>
      <c r="T445">
        <f t="shared" si="12"/>
        <v>0</v>
      </c>
      <c r="U445">
        <f>IF(COUNTIFS($B$2:B445,B445,$F$2:F445,F445)=1,1,0)</f>
        <v>0</v>
      </c>
      <c r="V445" s="13">
        <f t="shared" si="13"/>
        <v>114.15999999999985</v>
      </c>
    </row>
    <row r="446" spans="1:22">
      <c r="A446" t="s">
        <v>703</v>
      </c>
      <c r="B446" t="s">
        <v>145</v>
      </c>
      <c r="C446" t="s">
        <v>146</v>
      </c>
      <c r="D446" t="s">
        <v>56</v>
      </c>
      <c r="E446" t="s">
        <v>57</v>
      </c>
      <c r="F446" t="s">
        <v>26</v>
      </c>
      <c r="G446" t="s">
        <v>95</v>
      </c>
      <c r="H446" t="s">
        <v>683</v>
      </c>
      <c r="I446" t="s">
        <v>69</v>
      </c>
      <c r="J446" t="s">
        <v>29</v>
      </c>
      <c r="K446" t="s">
        <v>31</v>
      </c>
      <c r="L446" s="4">
        <v>45985</v>
      </c>
      <c r="M446" s="4">
        <v>46015</v>
      </c>
      <c r="N446" s="4">
        <v>46019</v>
      </c>
      <c r="O446" t="s">
        <v>32</v>
      </c>
      <c r="P446" s="5">
        <v>1</v>
      </c>
      <c r="Q446" s="6">
        <v>6700</v>
      </c>
      <c r="R446" s="6">
        <v>6997.33</v>
      </c>
      <c r="S446">
        <v>4</v>
      </c>
      <c r="T446">
        <f t="shared" si="12"/>
        <v>4</v>
      </c>
      <c r="U446">
        <f>IF(COUNTIFS($B$2:B446,B446,$F$2:F446,F446)=1,1,0)</f>
        <v>0</v>
      </c>
      <c r="V446" s="13">
        <f t="shared" si="13"/>
        <v>-297.32999999999993</v>
      </c>
    </row>
    <row r="447" spans="1:22">
      <c r="A447" t="s">
        <v>704</v>
      </c>
      <c r="B447" t="s">
        <v>148</v>
      </c>
      <c r="C447" t="s">
        <v>149</v>
      </c>
      <c r="D447" t="s">
        <v>64</v>
      </c>
      <c r="E447" t="s">
        <v>65</v>
      </c>
      <c r="F447" t="s">
        <v>38</v>
      </c>
      <c r="G447" t="s">
        <v>27</v>
      </c>
      <c r="H447" t="s">
        <v>685</v>
      </c>
      <c r="I447" t="s">
        <v>86</v>
      </c>
      <c r="J447" t="s">
        <v>30</v>
      </c>
      <c r="K447" t="s">
        <v>143</v>
      </c>
      <c r="L447" s="4">
        <v>45850</v>
      </c>
      <c r="M447" s="4">
        <v>45878</v>
      </c>
      <c r="N447" s="4">
        <v>45876</v>
      </c>
      <c r="O447" t="s">
        <v>32</v>
      </c>
      <c r="P447" s="5">
        <v>1</v>
      </c>
      <c r="Q447" s="6">
        <v>8500</v>
      </c>
      <c r="R447" s="6">
        <v>7285.67</v>
      </c>
      <c r="S447">
        <v>1</v>
      </c>
      <c r="T447">
        <f t="shared" si="12"/>
        <v>0</v>
      </c>
      <c r="U447">
        <f>IF(COUNTIFS($B$2:B447,B447,$F$2:F447,F447)=1,1,0)</f>
        <v>0</v>
      </c>
      <c r="V447" s="13">
        <f t="shared" si="13"/>
        <v>1214.33</v>
      </c>
    </row>
    <row r="448" spans="1:22">
      <c r="A448" t="s">
        <v>705</v>
      </c>
      <c r="B448" t="s">
        <v>151</v>
      </c>
      <c r="C448" t="s">
        <v>152</v>
      </c>
      <c r="D448" t="s">
        <v>73</v>
      </c>
      <c r="E448" t="s">
        <v>74</v>
      </c>
      <c r="F448" t="s">
        <v>48</v>
      </c>
      <c r="G448" t="s">
        <v>39</v>
      </c>
      <c r="H448" t="s">
        <v>687</v>
      </c>
      <c r="I448" t="s">
        <v>30</v>
      </c>
      <c r="J448" t="s">
        <v>30</v>
      </c>
      <c r="K448" t="s">
        <v>178</v>
      </c>
      <c r="L448" s="4">
        <v>46140</v>
      </c>
      <c r="M448" s="4">
        <v>46145</v>
      </c>
      <c r="N448" s="4"/>
      <c r="O448" t="s">
        <v>42</v>
      </c>
      <c r="P448" s="5">
        <v>0</v>
      </c>
      <c r="Q448" s="6">
        <v>11100</v>
      </c>
      <c r="R448" s="6">
        <v>0</v>
      </c>
      <c r="S448">
        <v>2</v>
      </c>
      <c r="T448" t="str">
        <f t="shared" si="12"/>
        <v/>
      </c>
      <c r="U448">
        <f>IF(COUNTIFS($B$2:B448,B448,$F$2:F448,F448)=1,1,0)</f>
        <v>0</v>
      </c>
      <c r="V448" s="13">
        <f t="shared" si="13"/>
        <v>11100</v>
      </c>
    </row>
    <row r="449" spans="1:22">
      <c r="A449" t="s">
        <v>706</v>
      </c>
      <c r="B449" t="s">
        <v>154</v>
      </c>
      <c r="C449" t="s">
        <v>155</v>
      </c>
      <c r="D449" t="s">
        <v>82</v>
      </c>
      <c r="E449" t="s">
        <v>83</v>
      </c>
      <c r="F449" t="s">
        <v>58</v>
      </c>
      <c r="G449" t="s">
        <v>49</v>
      </c>
      <c r="H449" t="s">
        <v>671</v>
      </c>
      <c r="I449" t="s">
        <v>29</v>
      </c>
      <c r="J449" t="s">
        <v>69</v>
      </c>
      <c r="K449" t="s">
        <v>51</v>
      </c>
      <c r="L449" s="4">
        <v>46128</v>
      </c>
      <c r="M449" s="4">
        <v>46140</v>
      </c>
      <c r="N449" s="4">
        <v>46143</v>
      </c>
      <c r="O449" t="s">
        <v>32</v>
      </c>
      <c r="P449" s="5">
        <v>1</v>
      </c>
      <c r="Q449" s="6">
        <v>27500</v>
      </c>
      <c r="R449" s="6">
        <v>34706.300000000003</v>
      </c>
      <c r="S449">
        <v>2</v>
      </c>
      <c r="T449">
        <f t="shared" si="12"/>
        <v>3</v>
      </c>
      <c r="U449">
        <f>IF(COUNTIFS($B$2:B449,B449,$F$2:F449,F449)=1,1,0)</f>
        <v>0</v>
      </c>
      <c r="V449" s="13">
        <f t="shared" si="13"/>
        <v>-7206.3000000000029</v>
      </c>
    </row>
    <row r="450" spans="1:22">
      <c r="A450" t="s">
        <v>707</v>
      </c>
      <c r="B450" t="s">
        <v>157</v>
      </c>
      <c r="C450" t="s">
        <v>158</v>
      </c>
      <c r="D450" t="s">
        <v>24</v>
      </c>
      <c r="E450" t="s">
        <v>25</v>
      </c>
      <c r="F450" t="s">
        <v>66</v>
      </c>
      <c r="G450" t="s">
        <v>59</v>
      </c>
      <c r="H450" t="s">
        <v>673</v>
      </c>
      <c r="I450" t="s">
        <v>69</v>
      </c>
      <c r="J450" t="s">
        <v>30</v>
      </c>
      <c r="K450" t="s">
        <v>31</v>
      </c>
      <c r="L450" s="4">
        <v>46154</v>
      </c>
      <c r="M450" s="4">
        <v>46166</v>
      </c>
      <c r="N450" s="4"/>
      <c r="O450" t="s">
        <v>52</v>
      </c>
      <c r="P450" s="5">
        <v>0.9</v>
      </c>
      <c r="Q450" s="6">
        <v>27600</v>
      </c>
      <c r="R450" s="6">
        <v>25958.74</v>
      </c>
      <c r="S450">
        <v>1</v>
      </c>
      <c r="T450" t="str">
        <f t="shared" ref="T450:T513" si="14">IF(N450="","",MAX(0,N450-M450))</f>
        <v/>
      </c>
      <c r="U450">
        <f>IF(COUNTIFS($B$2:B450,B450,$F$2:F450,F450)=1,1,0)</f>
        <v>0</v>
      </c>
      <c r="V450" s="13">
        <f t="shared" ref="V450:V513" si="15">Q450-R450</f>
        <v>1641.2599999999984</v>
      </c>
    </row>
    <row r="451" spans="1:22">
      <c r="A451" t="s">
        <v>708</v>
      </c>
      <c r="B451" t="s">
        <v>160</v>
      </c>
      <c r="C451" t="s">
        <v>161</v>
      </c>
      <c r="D451" t="s">
        <v>36</v>
      </c>
      <c r="E451" t="s">
        <v>37</v>
      </c>
      <c r="F451" t="s">
        <v>75</v>
      </c>
      <c r="G451" t="s">
        <v>76</v>
      </c>
      <c r="H451" t="s">
        <v>677</v>
      </c>
      <c r="I451" t="s">
        <v>29</v>
      </c>
      <c r="J451" t="s">
        <v>30</v>
      </c>
      <c r="K451" t="s">
        <v>31</v>
      </c>
      <c r="L451" s="4">
        <v>45942</v>
      </c>
      <c r="M451" s="4">
        <v>45950</v>
      </c>
      <c r="N451" s="4"/>
      <c r="O451" t="s">
        <v>42</v>
      </c>
      <c r="P451" s="5">
        <v>0</v>
      </c>
      <c r="Q451" s="6">
        <v>13500</v>
      </c>
      <c r="R451" s="6">
        <v>0</v>
      </c>
      <c r="S451">
        <v>2</v>
      </c>
      <c r="T451" t="str">
        <f t="shared" si="14"/>
        <v/>
      </c>
      <c r="U451">
        <f>IF(COUNTIFS($B$2:B451,B451,$F$2:F451,F451)=1,1,0)</f>
        <v>0</v>
      </c>
      <c r="V451" s="13">
        <f t="shared" si="15"/>
        <v>13500</v>
      </c>
    </row>
    <row r="452" spans="1:22">
      <c r="A452" t="s">
        <v>709</v>
      </c>
      <c r="B452" t="s">
        <v>22</v>
      </c>
      <c r="C452" t="s">
        <v>23</v>
      </c>
      <c r="D452" t="s">
        <v>24</v>
      </c>
      <c r="E452" t="s">
        <v>25</v>
      </c>
      <c r="F452" t="s">
        <v>26</v>
      </c>
      <c r="G452" t="s">
        <v>84</v>
      </c>
      <c r="H452" t="s">
        <v>710</v>
      </c>
      <c r="I452" t="s">
        <v>29</v>
      </c>
      <c r="J452" t="s">
        <v>30</v>
      </c>
      <c r="K452" t="s">
        <v>31</v>
      </c>
      <c r="L452" s="4">
        <v>46007</v>
      </c>
      <c r="M452" s="4">
        <v>46012</v>
      </c>
      <c r="N452" s="4">
        <v>46013</v>
      </c>
      <c r="O452" t="s">
        <v>32</v>
      </c>
      <c r="P452" s="5">
        <v>1</v>
      </c>
      <c r="Q452" s="6">
        <v>26900</v>
      </c>
      <c r="R452" s="6">
        <v>23693.5</v>
      </c>
      <c r="S452">
        <v>0</v>
      </c>
      <c r="T452">
        <f t="shared" si="14"/>
        <v>1</v>
      </c>
      <c r="U452">
        <f>IF(COUNTIFS($B$2:B452,B452,$F$2:F452,F452)=1,1,0)</f>
        <v>0</v>
      </c>
      <c r="V452" s="13">
        <f t="shared" si="15"/>
        <v>3206.5</v>
      </c>
    </row>
    <row r="453" spans="1:22">
      <c r="A453" t="s">
        <v>711</v>
      </c>
      <c r="B453" t="s">
        <v>34</v>
      </c>
      <c r="C453" t="s">
        <v>35</v>
      </c>
      <c r="D453" t="s">
        <v>36</v>
      </c>
      <c r="E453" t="s">
        <v>37</v>
      </c>
      <c r="F453" t="s">
        <v>38</v>
      </c>
      <c r="G453" t="s">
        <v>90</v>
      </c>
      <c r="H453" t="s">
        <v>712</v>
      </c>
      <c r="I453" t="s">
        <v>29</v>
      </c>
      <c r="J453" t="s">
        <v>69</v>
      </c>
      <c r="K453" t="s">
        <v>143</v>
      </c>
      <c r="L453" s="4">
        <v>45823</v>
      </c>
      <c r="M453" s="4">
        <v>45844</v>
      </c>
      <c r="N453" s="4"/>
      <c r="O453" t="s">
        <v>32</v>
      </c>
      <c r="P453" s="5">
        <v>0</v>
      </c>
      <c r="Q453" s="6">
        <v>9100</v>
      </c>
      <c r="R453" s="6">
        <v>0</v>
      </c>
      <c r="S453">
        <v>1</v>
      </c>
      <c r="T453" t="str">
        <f t="shared" si="14"/>
        <v/>
      </c>
      <c r="U453">
        <f>IF(COUNTIFS($B$2:B453,B453,$F$2:F453,F453)=1,1,0)</f>
        <v>0</v>
      </c>
      <c r="V453" s="13">
        <f t="shared" si="15"/>
        <v>9100</v>
      </c>
    </row>
    <row r="454" spans="1:22">
      <c r="A454" t="s">
        <v>713</v>
      </c>
      <c r="B454" t="s">
        <v>44</v>
      </c>
      <c r="C454" t="s">
        <v>45</v>
      </c>
      <c r="D454" t="s">
        <v>46</v>
      </c>
      <c r="E454" t="s">
        <v>47</v>
      </c>
      <c r="F454" t="s">
        <v>48</v>
      </c>
      <c r="G454" t="s">
        <v>95</v>
      </c>
      <c r="H454" t="s">
        <v>714</v>
      </c>
      <c r="I454" t="s">
        <v>29</v>
      </c>
      <c r="J454" t="s">
        <v>30</v>
      </c>
      <c r="K454" t="s">
        <v>31</v>
      </c>
      <c r="L454" s="4">
        <v>45806</v>
      </c>
      <c r="M454" s="4">
        <v>45817</v>
      </c>
      <c r="N454" s="4">
        <v>45819</v>
      </c>
      <c r="O454" t="s">
        <v>32</v>
      </c>
      <c r="P454" s="5">
        <v>1</v>
      </c>
      <c r="Q454" s="6">
        <v>36900</v>
      </c>
      <c r="R454" s="6">
        <v>32068.91</v>
      </c>
      <c r="S454">
        <v>0</v>
      </c>
      <c r="T454">
        <f t="shared" si="14"/>
        <v>2</v>
      </c>
      <c r="U454">
        <f>IF(COUNTIFS($B$2:B454,B454,$F$2:F454,F454)=1,1,0)</f>
        <v>0</v>
      </c>
      <c r="V454" s="13">
        <f t="shared" si="15"/>
        <v>4831.09</v>
      </c>
    </row>
    <row r="455" spans="1:22">
      <c r="A455" t="s">
        <v>715</v>
      </c>
      <c r="B455" t="s">
        <v>54</v>
      </c>
      <c r="C455" t="s">
        <v>55</v>
      </c>
      <c r="D455" t="s">
        <v>56</v>
      </c>
      <c r="E455" t="s">
        <v>57</v>
      </c>
      <c r="F455" t="s">
        <v>58</v>
      </c>
      <c r="G455" t="s">
        <v>27</v>
      </c>
      <c r="H455" t="s">
        <v>716</v>
      </c>
      <c r="I455" t="s">
        <v>86</v>
      </c>
      <c r="J455" t="s">
        <v>29</v>
      </c>
      <c r="K455" t="s">
        <v>78</v>
      </c>
      <c r="L455" s="4">
        <v>46128</v>
      </c>
      <c r="M455" s="4">
        <v>46155</v>
      </c>
      <c r="N455" s="4"/>
      <c r="O455" t="s">
        <v>32</v>
      </c>
      <c r="P455" s="5">
        <v>0.6</v>
      </c>
      <c r="Q455" s="6">
        <v>40500</v>
      </c>
      <c r="R455" s="6">
        <v>44616.75</v>
      </c>
      <c r="S455">
        <v>1</v>
      </c>
      <c r="T455" t="str">
        <f t="shared" si="14"/>
        <v/>
      </c>
      <c r="U455">
        <f>IF(COUNTIFS($B$2:B455,B455,$F$2:F455,F455)=1,1,0)</f>
        <v>0</v>
      </c>
      <c r="V455" s="13">
        <f t="shared" si="15"/>
        <v>-4116.75</v>
      </c>
    </row>
    <row r="456" spans="1:22">
      <c r="A456" t="s">
        <v>717</v>
      </c>
      <c r="B456" t="s">
        <v>62</v>
      </c>
      <c r="C456" t="s">
        <v>63</v>
      </c>
      <c r="D456" t="s">
        <v>64</v>
      </c>
      <c r="E456" t="s">
        <v>65</v>
      </c>
      <c r="F456" t="s">
        <v>66</v>
      </c>
      <c r="G456" t="s">
        <v>39</v>
      </c>
      <c r="H456" t="s">
        <v>718</v>
      </c>
      <c r="I456" t="s">
        <v>29</v>
      </c>
      <c r="J456" t="s">
        <v>30</v>
      </c>
      <c r="K456" t="s">
        <v>78</v>
      </c>
      <c r="L456" s="4">
        <v>45859</v>
      </c>
      <c r="M456" s="4">
        <v>45883</v>
      </c>
      <c r="N456" s="4">
        <v>45887</v>
      </c>
      <c r="O456" t="s">
        <v>32</v>
      </c>
      <c r="P456" s="5">
        <v>1</v>
      </c>
      <c r="Q456" s="6">
        <v>16900</v>
      </c>
      <c r="R456" s="6">
        <v>15415.31</v>
      </c>
      <c r="S456">
        <v>0</v>
      </c>
      <c r="T456">
        <f t="shared" si="14"/>
        <v>4</v>
      </c>
      <c r="U456">
        <f>IF(COUNTIFS($B$2:B456,B456,$F$2:F456,F456)=1,1,0)</f>
        <v>0</v>
      </c>
      <c r="V456" s="13">
        <f t="shared" si="15"/>
        <v>1484.6900000000005</v>
      </c>
    </row>
    <row r="457" spans="1:22">
      <c r="A457" t="s">
        <v>719</v>
      </c>
      <c r="B457" t="s">
        <v>71</v>
      </c>
      <c r="C457" t="s">
        <v>72</v>
      </c>
      <c r="D457" t="s">
        <v>73</v>
      </c>
      <c r="E457" t="s">
        <v>74</v>
      </c>
      <c r="F457" t="s">
        <v>75</v>
      </c>
      <c r="G457" t="s">
        <v>49</v>
      </c>
      <c r="H457" t="s">
        <v>720</v>
      </c>
      <c r="I457" t="s">
        <v>29</v>
      </c>
      <c r="J457" t="s">
        <v>30</v>
      </c>
      <c r="K457" t="s">
        <v>31</v>
      </c>
      <c r="L457" s="4">
        <v>45875</v>
      </c>
      <c r="M457" s="4">
        <v>45880</v>
      </c>
      <c r="N457" s="4">
        <v>45880</v>
      </c>
      <c r="O457" t="s">
        <v>32</v>
      </c>
      <c r="P457" s="5">
        <v>1</v>
      </c>
      <c r="Q457" s="6">
        <v>9300</v>
      </c>
      <c r="R457" s="6">
        <v>9205.34</v>
      </c>
      <c r="S457">
        <v>2</v>
      </c>
      <c r="T457">
        <f t="shared" si="14"/>
        <v>0</v>
      </c>
      <c r="U457">
        <f>IF(COUNTIFS($B$2:B457,B457,$F$2:F457,F457)=1,1,0)</f>
        <v>0</v>
      </c>
      <c r="V457" s="13">
        <f t="shared" si="15"/>
        <v>94.659999999999854</v>
      </c>
    </row>
    <row r="458" spans="1:22">
      <c r="A458" t="s">
        <v>721</v>
      </c>
      <c r="B458" t="s">
        <v>80</v>
      </c>
      <c r="C458" t="s">
        <v>81</v>
      </c>
      <c r="D458" t="s">
        <v>82</v>
      </c>
      <c r="E458" t="s">
        <v>83</v>
      </c>
      <c r="F458" t="s">
        <v>26</v>
      </c>
      <c r="G458" t="s">
        <v>59</v>
      </c>
      <c r="H458" t="s">
        <v>722</v>
      </c>
      <c r="I458" t="s">
        <v>69</v>
      </c>
      <c r="J458" t="s">
        <v>30</v>
      </c>
      <c r="K458" t="s">
        <v>78</v>
      </c>
      <c r="L458" s="4">
        <v>45825</v>
      </c>
      <c r="M458" s="4">
        <v>45843</v>
      </c>
      <c r="N458" s="4">
        <v>45845</v>
      </c>
      <c r="O458" t="s">
        <v>32</v>
      </c>
      <c r="P458" s="5">
        <v>1</v>
      </c>
      <c r="Q458" s="6">
        <v>13000</v>
      </c>
      <c r="R458" s="6">
        <v>14319.83</v>
      </c>
      <c r="S458">
        <v>2</v>
      </c>
      <c r="T458">
        <f t="shared" si="14"/>
        <v>2</v>
      </c>
      <c r="U458">
        <f>IF(COUNTIFS($B$2:B458,B458,$F$2:F458,F458)=1,1,0)</f>
        <v>0</v>
      </c>
      <c r="V458" s="13">
        <f t="shared" si="15"/>
        <v>-1319.83</v>
      </c>
    </row>
    <row r="459" spans="1:22">
      <c r="A459" t="s">
        <v>723</v>
      </c>
      <c r="B459" t="s">
        <v>88</v>
      </c>
      <c r="C459" t="s">
        <v>89</v>
      </c>
      <c r="D459" t="s">
        <v>24</v>
      </c>
      <c r="E459" t="s">
        <v>25</v>
      </c>
      <c r="F459" t="s">
        <v>38</v>
      </c>
      <c r="G459" t="s">
        <v>67</v>
      </c>
      <c r="H459" t="s">
        <v>724</v>
      </c>
      <c r="I459" t="s">
        <v>69</v>
      </c>
      <c r="J459" t="s">
        <v>30</v>
      </c>
      <c r="K459" t="s">
        <v>78</v>
      </c>
      <c r="L459" s="4">
        <v>45764</v>
      </c>
      <c r="M459" s="4">
        <v>45769</v>
      </c>
      <c r="N459" s="4">
        <v>45784</v>
      </c>
      <c r="O459" t="s">
        <v>32</v>
      </c>
      <c r="P459" s="5">
        <v>1</v>
      </c>
      <c r="Q459" s="6">
        <v>30400</v>
      </c>
      <c r="R459" s="6">
        <v>26716.240000000002</v>
      </c>
      <c r="S459">
        <v>0</v>
      </c>
      <c r="T459">
        <f t="shared" si="14"/>
        <v>15</v>
      </c>
      <c r="U459">
        <f>IF(COUNTIFS($B$2:B459,B459,$F$2:F459,F459)=1,1,0)</f>
        <v>0</v>
      </c>
      <c r="V459" s="13">
        <f t="shared" si="15"/>
        <v>3683.7599999999984</v>
      </c>
    </row>
    <row r="460" spans="1:22">
      <c r="A460" t="s">
        <v>725</v>
      </c>
      <c r="B460" t="s">
        <v>93</v>
      </c>
      <c r="C460" t="s">
        <v>94</v>
      </c>
      <c r="D460" t="s">
        <v>36</v>
      </c>
      <c r="E460" t="s">
        <v>37</v>
      </c>
      <c r="F460" t="s">
        <v>48</v>
      </c>
      <c r="G460" t="s">
        <v>76</v>
      </c>
      <c r="H460" t="s">
        <v>726</v>
      </c>
      <c r="I460" t="s">
        <v>29</v>
      </c>
      <c r="J460" t="s">
        <v>30</v>
      </c>
      <c r="K460" t="s">
        <v>143</v>
      </c>
      <c r="L460" s="4">
        <v>46120</v>
      </c>
      <c r="M460" s="4">
        <v>46138</v>
      </c>
      <c r="N460" s="4">
        <v>46147</v>
      </c>
      <c r="O460" t="s">
        <v>32</v>
      </c>
      <c r="P460" s="5">
        <v>1</v>
      </c>
      <c r="Q460" s="6">
        <v>13500</v>
      </c>
      <c r="R460" s="6">
        <v>12449.85</v>
      </c>
      <c r="S460">
        <v>2</v>
      </c>
      <c r="T460">
        <f t="shared" si="14"/>
        <v>9</v>
      </c>
      <c r="U460">
        <f>IF(COUNTIFS($B$2:B460,B460,$F$2:F460,F460)=1,1,0)</f>
        <v>0</v>
      </c>
      <c r="V460" s="13">
        <f t="shared" si="15"/>
        <v>1050.1499999999996</v>
      </c>
    </row>
    <row r="461" spans="1:22">
      <c r="A461" t="s">
        <v>727</v>
      </c>
      <c r="B461" t="s">
        <v>98</v>
      </c>
      <c r="C461" t="s">
        <v>99</v>
      </c>
      <c r="D461" t="s">
        <v>46</v>
      </c>
      <c r="E461" t="s">
        <v>47</v>
      </c>
      <c r="F461" t="s">
        <v>58</v>
      </c>
      <c r="G461" t="s">
        <v>84</v>
      </c>
      <c r="H461" t="s">
        <v>710</v>
      </c>
      <c r="I461" t="s">
        <v>29</v>
      </c>
      <c r="J461" t="s">
        <v>30</v>
      </c>
      <c r="K461" t="s">
        <v>78</v>
      </c>
      <c r="L461" s="4">
        <v>45747</v>
      </c>
      <c r="M461" s="4">
        <v>45751</v>
      </c>
      <c r="N461" s="4">
        <v>45764</v>
      </c>
      <c r="O461" t="s">
        <v>32</v>
      </c>
      <c r="P461" s="5">
        <v>1</v>
      </c>
      <c r="Q461" s="6">
        <v>19900</v>
      </c>
      <c r="R461" s="6">
        <v>20821.25</v>
      </c>
      <c r="S461">
        <v>1</v>
      </c>
      <c r="T461">
        <f t="shared" si="14"/>
        <v>13</v>
      </c>
      <c r="U461">
        <f>IF(COUNTIFS($B$2:B461,B461,$F$2:F461,F461)=1,1,0)</f>
        <v>0</v>
      </c>
      <c r="V461" s="13">
        <f t="shared" si="15"/>
        <v>-921.25</v>
      </c>
    </row>
    <row r="462" spans="1:22">
      <c r="A462" t="s">
        <v>728</v>
      </c>
      <c r="B462" t="s">
        <v>101</v>
      </c>
      <c r="C462" t="s">
        <v>102</v>
      </c>
      <c r="D462" t="s">
        <v>56</v>
      </c>
      <c r="E462" t="s">
        <v>57</v>
      </c>
      <c r="F462" t="s">
        <v>66</v>
      </c>
      <c r="G462" t="s">
        <v>90</v>
      </c>
      <c r="H462" t="s">
        <v>712</v>
      </c>
      <c r="I462" t="s">
        <v>29</v>
      </c>
      <c r="J462" t="s">
        <v>69</v>
      </c>
      <c r="K462" t="s">
        <v>78</v>
      </c>
      <c r="L462" s="4">
        <v>46126</v>
      </c>
      <c r="M462" s="4">
        <v>46132</v>
      </c>
      <c r="N462" s="4">
        <v>46124</v>
      </c>
      <c r="O462" t="s">
        <v>32</v>
      </c>
      <c r="P462" s="5">
        <v>1</v>
      </c>
      <c r="Q462" s="6">
        <v>2000</v>
      </c>
      <c r="R462" s="6">
        <v>2223.5</v>
      </c>
      <c r="S462">
        <v>3</v>
      </c>
      <c r="T462">
        <f t="shared" si="14"/>
        <v>0</v>
      </c>
      <c r="U462">
        <f>IF(COUNTIFS($B$2:B462,B462,$F$2:F462,F462)=1,1,0)</f>
        <v>0</v>
      </c>
      <c r="V462" s="13">
        <f t="shared" si="15"/>
        <v>-223.5</v>
      </c>
    </row>
    <row r="463" spans="1:22">
      <c r="A463" t="s">
        <v>729</v>
      </c>
      <c r="B463" t="s">
        <v>104</v>
      </c>
      <c r="C463" t="s">
        <v>105</v>
      </c>
      <c r="D463" t="s">
        <v>64</v>
      </c>
      <c r="E463" t="s">
        <v>65</v>
      </c>
      <c r="F463" t="s">
        <v>75</v>
      </c>
      <c r="G463" t="s">
        <v>95</v>
      </c>
      <c r="H463" t="s">
        <v>714</v>
      </c>
      <c r="I463" t="s">
        <v>29</v>
      </c>
      <c r="J463" t="s">
        <v>29</v>
      </c>
      <c r="K463" t="s">
        <v>31</v>
      </c>
      <c r="L463" s="4">
        <v>46182</v>
      </c>
      <c r="M463" s="4">
        <v>46193</v>
      </c>
      <c r="N463" s="4"/>
      <c r="O463" t="s">
        <v>52</v>
      </c>
      <c r="P463" s="5">
        <v>0.6</v>
      </c>
      <c r="Q463" s="6">
        <v>43200</v>
      </c>
      <c r="R463" s="6">
        <v>50142.35</v>
      </c>
      <c r="S463">
        <v>1</v>
      </c>
      <c r="T463" t="str">
        <f t="shared" si="14"/>
        <v/>
      </c>
      <c r="U463">
        <f>IF(COUNTIFS($B$2:B463,B463,$F$2:F463,F463)=1,1,0)</f>
        <v>0</v>
      </c>
      <c r="V463" s="13">
        <f t="shared" si="15"/>
        <v>-6942.3499999999985</v>
      </c>
    </row>
    <row r="464" spans="1:22">
      <c r="A464" t="s">
        <v>730</v>
      </c>
      <c r="B464" t="s">
        <v>107</v>
      </c>
      <c r="C464" t="s">
        <v>108</v>
      </c>
      <c r="D464" t="s">
        <v>73</v>
      </c>
      <c r="E464" t="s">
        <v>74</v>
      </c>
      <c r="F464" t="s">
        <v>26</v>
      </c>
      <c r="G464" t="s">
        <v>27</v>
      </c>
      <c r="H464" t="s">
        <v>716</v>
      </c>
      <c r="I464" t="s">
        <v>29</v>
      </c>
      <c r="J464" t="s">
        <v>30</v>
      </c>
      <c r="K464" t="s">
        <v>78</v>
      </c>
      <c r="L464" s="4">
        <v>46035</v>
      </c>
      <c r="M464" s="4">
        <v>46065</v>
      </c>
      <c r="N464" s="4"/>
      <c r="O464" t="s">
        <v>52</v>
      </c>
      <c r="P464" s="5">
        <v>0.6</v>
      </c>
      <c r="Q464" s="6">
        <v>9300</v>
      </c>
      <c r="R464" s="6">
        <v>10029.780000000001</v>
      </c>
      <c r="S464">
        <v>2</v>
      </c>
      <c r="T464" t="str">
        <f t="shared" si="14"/>
        <v/>
      </c>
      <c r="U464">
        <f>IF(COUNTIFS($B$2:B464,B464,$F$2:F464,F464)=1,1,0)</f>
        <v>0</v>
      </c>
      <c r="V464" s="13">
        <f t="shared" si="15"/>
        <v>-729.78000000000065</v>
      </c>
    </row>
    <row r="465" spans="1:22">
      <c r="A465" t="s">
        <v>731</v>
      </c>
      <c r="B465" t="s">
        <v>111</v>
      </c>
      <c r="C465" t="s">
        <v>112</v>
      </c>
      <c r="D465" t="s">
        <v>82</v>
      </c>
      <c r="E465" t="s">
        <v>83</v>
      </c>
      <c r="F465" t="s">
        <v>38</v>
      </c>
      <c r="G465" t="s">
        <v>39</v>
      </c>
      <c r="H465" t="s">
        <v>718</v>
      </c>
      <c r="I465" t="s">
        <v>29</v>
      </c>
      <c r="J465" t="s">
        <v>30</v>
      </c>
      <c r="K465" t="s">
        <v>31</v>
      </c>
      <c r="L465" s="4">
        <v>45767</v>
      </c>
      <c r="M465" s="4">
        <v>45787</v>
      </c>
      <c r="N465" s="4"/>
      <c r="O465" t="s">
        <v>52</v>
      </c>
      <c r="P465" s="5">
        <v>0.6</v>
      </c>
      <c r="Q465" s="6">
        <v>10000</v>
      </c>
      <c r="R465" s="6">
        <v>11257.3</v>
      </c>
      <c r="S465">
        <v>2</v>
      </c>
      <c r="T465" t="str">
        <f t="shared" si="14"/>
        <v/>
      </c>
      <c r="U465">
        <f>IF(COUNTIFS($B$2:B465,B465,$F$2:F465,F465)=1,1,0)</f>
        <v>0</v>
      </c>
      <c r="V465" s="13">
        <f t="shared" si="15"/>
        <v>-1257.2999999999993</v>
      </c>
    </row>
    <row r="466" spans="1:22">
      <c r="A466" t="s">
        <v>732</v>
      </c>
      <c r="B466" t="s">
        <v>114</v>
      </c>
      <c r="C466" t="s">
        <v>115</v>
      </c>
      <c r="D466" t="s">
        <v>24</v>
      </c>
      <c r="E466" t="s">
        <v>25</v>
      </c>
      <c r="F466" t="s">
        <v>48</v>
      </c>
      <c r="G466" t="s">
        <v>49</v>
      </c>
      <c r="H466" t="s">
        <v>720</v>
      </c>
      <c r="I466" t="s">
        <v>29</v>
      </c>
      <c r="J466" t="s">
        <v>30</v>
      </c>
      <c r="K466" t="s">
        <v>31</v>
      </c>
      <c r="L466" s="4">
        <v>45999</v>
      </c>
      <c r="M466" s="4">
        <v>46029</v>
      </c>
      <c r="N466" s="4">
        <v>46020</v>
      </c>
      <c r="O466" t="s">
        <v>32</v>
      </c>
      <c r="P466" s="5">
        <v>1</v>
      </c>
      <c r="Q466" s="6">
        <v>24700</v>
      </c>
      <c r="R466" s="6">
        <v>23934.81</v>
      </c>
      <c r="S466">
        <v>3</v>
      </c>
      <c r="T466">
        <f t="shared" si="14"/>
        <v>0</v>
      </c>
      <c r="U466">
        <f>IF(COUNTIFS($B$2:B466,B466,$F$2:F466,F466)=1,1,0)</f>
        <v>0</v>
      </c>
      <c r="V466" s="13">
        <f t="shared" si="15"/>
        <v>765.18999999999869</v>
      </c>
    </row>
    <row r="467" spans="1:22">
      <c r="A467" t="s">
        <v>733</v>
      </c>
      <c r="B467" t="s">
        <v>117</v>
      </c>
      <c r="C467" t="s">
        <v>118</v>
      </c>
      <c r="D467" t="s">
        <v>36</v>
      </c>
      <c r="E467" t="s">
        <v>37</v>
      </c>
      <c r="F467" t="s">
        <v>58</v>
      </c>
      <c r="G467" t="s">
        <v>59</v>
      </c>
      <c r="H467" t="s">
        <v>722</v>
      </c>
      <c r="I467" t="s">
        <v>29</v>
      </c>
      <c r="J467" t="s">
        <v>69</v>
      </c>
      <c r="K467" t="s">
        <v>31</v>
      </c>
      <c r="L467" s="4">
        <v>45904</v>
      </c>
      <c r="M467" s="4">
        <v>45929</v>
      </c>
      <c r="N467" s="4"/>
      <c r="O467" t="s">
        <v>42</v>
      </c>
      <c r="P467" s="5">
        <v>0</v>
      </c>
      <c r="Q467" s="6">
        <v>10900</v>
      </c>
      <c r="R467" s="6">
        <v>0</v>
      </c>
      <c r="S467">
        <v>5</v>
      </c>
      <c r="T467" t="str">
        <f t="shared" si="14"/>
        <v/>
      </c>
      <c r="U467">
        <f>IF(COUNTIFS($B$2:B467,B467,$F$2:F467,F467)=1,1,0)</f>
        <v>0</v>
      </c>
      <c r="V467" s="13">
        <f t="shared" si="15"/>
        <v>10900</v>
      </c>
    </row>
    <row r="468" spans="1:22">
      <c r="A468" t="s">
        <v>734</v>
      </c>
      <c r="B468" t="s">
        <v>120</v>
      </c>
      <c r="C468" t="s">
        <v>121</v>
      </c>
      <c r="D468" t="s">
        <v>46</v>
      </c>
      <c r="E468" t="s">
        <v>47</v>
      </c>
      <c r="F468" t="s">
        <v>66</v>
      </c>
      <c r="G468" t="s">
        <v>67</v>
      </c>
      <c r="H468" t="s">
        <v>724</v>
      </c>
      <c r="I468" t="s">
        <v>30</v>
      </c>
      <c r="J468" t="s">
        <v>29</v>
      </c>
      <c r="K468" t="s">
        <v>31</v>
      </c>
      <c r="L468" s="4">
        <v>45771</v>
      </c>
      <c r="M468" s="4">
        <v>45791</v>
      </c>
      <c r="N468" s="4">
        <v>45795</v>
      </c>
      <c r="O468" t="s">
        <v>32</v>
      </c>
      <c r="P468" s="5">
        <v>1</v>
      </c>
      <c r="Q468" s="6">
        <v>19400</v>
      </c>
      <c r="R468" s="6">
        <v>17965.66</v>
      </c>
      <c r="S468">
        <v>1</v>
      </c>
      <c r="T468">
        <f t="shared" si="14"/>
        <v>4</v>
      </c>
      <c r="U468">
        <f>IF(COUNTIFS($B$2:B468,B468,$F$2:F468,F468)=1,1,0)</f>
        <v>0</v>
      </c>
      <c r="V468" s="13">
        <f t="shared" si="15"/>
        <v>1434.3400000000001</v>
      </c>
    </row>
    <row r="469" spans="1:22">
      <c r="A469" t="s">
        <v>735</v>
      </c>
      <c r="B469" t="s">
        <v>123</v>
      </c>
      <c r="C469" t="s">
        <v>124</v>
      </c>
      <c r="D469" t="s">
        <v>56</v>
      </c>
      <c r="E469" t="s">
        <v>57</v>
      </c>
      <c r="F469" t="s">
        <v>75</v>
      </c>
      <c r="G469" t="s">
        <v>76</v>
      </c>
      <c r="H469" t="s">
        <v>726</v>
      </c>
      <c r="I469" t="s">
        <v>69</v>
      </c>
      <c r="J469" t="s">
        <v>29</v>
      </c>
      <c r="K469" t="s">
        <v>51</v>
      </c>
      <c r="L469" s="4">
        <v>45815</v>
      </c>
      <c r="M469" s="4">
        <v>45823</v>
      </c>
      <c r="N469" s="4"/>
      <c r="O469" t="s">
        <v>109</v>
      </c>
      <c r="P469" s="5">
        <v>0.3</v>
      </c>
      <c r="Q469" s="6">
        <v>16900</v>
      </c>
      <c r="R469" s="6">
        <v>19495.73</v>
      </c>
      <c r="S469">
        <v>1</v>
      </c>
      <c r="T469" t="str">
        <f t="shared" si="14"/>
        <v/>
      </c>
      <c r="U469">
        <f>IF(COUNTIFS($B$2:B469,B469,$F$2:F469,F469)=1,1,0)</f>
        <v>0</v>
      </c>
      <c r="V469" s="13">
        <f t="shared" si="15"/>
        <v>-2595.7299999999996</v>
      </c>
    </row>
    <row r="470" spans="1:22">
      <c r="A470" t="s">
        <v>736</v>
      </c>
      <c r="B470" t="s">
        <v>126</v>
      </c>
      <c r="C470" t="s">
        <v>127</v>
      </c>
      <c r="D470" t="s">
        <v>64</v>
      </c>
      <c r="E470" t="s">
        <v>65</v>
      </c>
      <c r="F470" t="s">
        <v>26</v>
      </c>
      <c r="G470" t="s">
        <v>84</v>
      </c>
      <c r="H470" t="s">
        <v>710</v>
      </c>
      <c r="I470" t="s">
        <v>69</v>
      </c>
      <c r="J470" t="s">
        <v>69</v>
      </c>
      <c r="K470" t="s">
        <v>31</v>
      </c>
      <c r="L470" s="4">
        <v>45783</v>
      </c>
      <c r="M470" s="4">
        <v>45800</v>
      </c>
      <c r="N470" s="4">
        <v>45795</v>
      </c>
      <c r="O470" t="s">
        <v>32</v>
      </c>
      <c r="P470" s="5">
        <v>1</v>
      </c>
      <c r="Q470" s="6">
        <v>7800</v>
      </c>
      <c r="R470" s="6">
        <v>9117.31</v>
      </c>
      <c r="S470">
        <v>5</v>
      </c>
      <c r="T470">
        <f t="shared" si="14"/>
        <v>0</v>
      </c>
      <c r="U470">
        <f>IF(COUNTIFS($B$2:B470,B470,$F$2:F470,F470)=1,1,0)</f>
        <v>0</v>
      </c>
      <c r="V470" s="13">
        <f t="shared" si="15"/>
        <v>-1317.3099999999995</v>
      </c>
    </row>
    <row r="471" spans="1:22">
      <c r="A471" t="s">
        <v>737</v>
      </c>
      <c r="B471" t="s">
        <v>129</v>
      </c>
      <c r="C471" t="s">
        <v>130</v>
      </c>
      <c r="D471" t="s">
        <v>73</v>
      </c>
      <c r="E471" t="s">
        <v>74</v>
      </c>
      <c r="F471" t="s">
        <v>38</v>
      </c>
      <c r="G471" t="s">
        <v>90</v>
      </c>
      <c r="H471" t="s">
        <v>712</v>
      </c>
      <c r="I471" t="s">
        <v>29</v>
      </c>
      <c r="J471" t="s">
        <v>29</v>
      </c>
      <c r="K471" t="s">
        <v>51</v>
      </c>
      <c r="L471" s="4">
        <v>45792</v>
      </c>
      <c r="M471" s="4">
        <v>45797</v>
      </c>
      <c r="N471" s="4"/>
      <c r="O471" t="s">
        <v>42</v>
      </c>
      <c r="P471" s="5">
        <v>0</v>
      </c>
      <c r="Q471" s="6">
        <v>11400</v>
      </c>
      <c r="R471" s="6">
        <v>0</v>
      </c>
      <c r="S471">
        <v>3</v>
      </c>
      <c r="T471" t="str">
        <f t="shared" si="14"/>
        <v/>
      </c>
      <c r="U471">
        <f>IF(COUNTIFS($B$2:B471,B471,$F$2:F471,F471)=1,1,0)</f>
        <v>0</v>
      </c>
      <c r="V471" s="13">
        <f t="shared" si="15"/>
        <v>11400</v>
      </c>
    </row>
    <row r="472" spans="1:22">
      <c r="A472" t="s">
        <v>738</v>
      </c>
      <c r="B472" t="s">
        <v>132</v>
      </c>
      <c r="C472" t="s">
        <v>133</v>
      </c>
      <c r="D472" t="s">
        <v>82</v>
      </c>
      <c r="E472" t="s">
        <v>83</v>
      </c>
      <c r="F472" t="s">
        <v>48</v>
      </c>
      <c r="G472" t="s">
        <v>95</v>
      </c>
      <c r="H472" t="s">
        <v>714</v>
      </c>
      <c r="I472" t="s">
        <v>29</v>
      </c>
      <c r="J472" t="s">
        <v>29</v>
      </c>
      <c r="K472" t="s">
        <v>31</v>
      </c>
      <c r="L472" s="4">
        <v>45895</v>
      </c>
      <c r="M472" s="4">
        <v>45922</v>
      </c>
      <c r="N472" s="4">
        <v>45918</v>
      </c>
      <c r="O472" t="s">
        <v>32</v>
      </c>
      <c r="P472" s="5">
        <v>1</v>
      </c>
      <c r="Q472" s="6">
        <v>43500</v>
      </c>
      <c r="R472" s="6">
        <v>49191.040000000001</v>
      </c>
      <c r="S472">
        <v>1</v>
      </c>
      <c r="T472">
        <f t="shared" si="14"/>
        <v>0</v>
      </c>
      <c r="U472">
        <f>IF(COUNTIFS($B$2:B472,B472,$F$2:F472,F472)=1,1,0)</f>
        <v>0</v>
      </c>
      <c r="V472" s="13">
        <f t="shared" si="15"/>
        <v>-5691.0400000000009</v>
      </c>
    </row>
    <row r="473" spans="1:22">
      <c r="A473" t="s">
        <v>739</v>
      </c>
      <c r="B473" t="s">
        <v>135</v>
      </c>
      <c r="C473" t="s">
        <v>136</v>
      </c>
      <c r="D473" t="s">
        <v>24</v>
      </c>
      <c r="E473" t="s">
        <v>25</v>
      </c>
      <c r="F473" t="s">
        <v>58</v>
      </c>
      <c r="G473" t="s">
        <v>27</v>
      </c>
      <c r="H473" t="s">
        <v>716</v>
      </c>
      <c r="I473" t="s">
        <v>30</v>
      </c>
      <c r="J473" t="s">
        <v>29</v>
      </c>
      <c r="K473" t="s">
        <v>51</v>
      </c>
      <c r="L473" s="4">
        <v>45941</v>
      </c>
      <c r="M473" s="4">
        <v>45950</v>
      </c>
      <c r="N473" s="4"/>
      <c r="O473" t="s">
        <v>42</v>
      </c>
      <c r="P473" s="5">
        <v>0</v>
      </c>
      <c r="Q473" s="6">
        <v>6000</v>
      </c>
      <c r="R473" s="6">
        <v>0</v>
      </c>
      <c r="S473">
        <v>4</v>
      </c>
      <c r="T473" t="str">
        <f t="shared" si="14"/>
        <v/>
      </c>
      <c r="U473">
        <f>IF(COUNTIFS($B$2:B473,B473,$F$2:F473,F473)=1,1,0)</f>
        <v>0</v>
      </c>
      <c r="V473" s="13">
        <f t="shared" si="15"/>
        <v>6000</v>
      </c>
    </row>
    <row r="474" spans="1:22">
      <c r="A474" t="s">
        <v>740</v>
      </c>
      <c r="B474" t="s">
        <v>138</v>
      </c>
      <c r="C474" t="s">
        <v>139</v>
      </c>
      <c r="D474" t="s">
        <v>36</v>
      </c>
      <c r="E474" t="s">
        <v>37</v>
      </c>
      <c r="F474" t="s">
        <v>66</v>
      </c>
      <c r="G474" t="s">
        <v>39</v>
      </c>
      <c r="H474" t="s">
        <v>718</v>
      </c>
      <c r="I474" t="s">
        <v>29</v>
      </c>
      <c r="J474" t="s">
        <v>30</v>
      </c>
      <c r="K474" t="s">
        <v>31</v>
      </c>
      <c r="L474" s="4">
        <v>45992</v>
      </c>
      <c r="M474" s="4">
        <v>45998</v>
      </c>
      <c r="N474" s="4"/>
      <c r="O474" t="s">
        <v>52</v>
      </c>
      <c r="P474" s="5">
        <v>0.4</v>
      </c>
      <c r="Q474" s="6">
        <v>5200</v>
      </c>
      <c r="R474" s="6">
        <v>5762.4</v>
      </c>
      <c r="S474">
        <v>2</v>
      </c>
      <c r="T474" t="str">
        <f t="shared" si="14"/>
        <v/>
      </c>
      <c r="U474">
        <f>IF(COUNTIFS($B$2:B474,B474,$F$2:F474,F474)=1,1,0)</f>
        <v>0</v>
      </c>
      <c r="V474" s="13">
        <f t="shared" si="15"/>
        <v>-562.39999999999964</v>
      </c>
    </row>
    <row r="475" spans="1:22">
      <c r="A475" t="s">
        <v>741</v>
      </c>
      <c r="B475" t="s">
        <v>141</v>
      </c>
      <c r="C475" t="s">
        <v>142</v>
      </c>
      <c r="D475" t="s">
        <v>46</v>
      </c>
      <c r="E475" t="s">
        <v>47</v>
      </c>
      <c r="F475" t="s">
        <v>75</v>
      </c>
      <c r="G475" t="s">
        <v>49</v>
      </c>
      <c r="H475" t="s">
        <v>720</v>
      </c>
      <c r="I475" t="s">
        <v>29</v>
      </c>
      <c r="J475" t="s">
        <v>29</v>
      </c>
      <c r="K475" t="s">
        <v>31</v>
      </c>
      <c r="L475" s="4">
        <v>45708</v>
      </c>
      <c r="M475" s="4">
        <v>45715</v>
      </c>
      <c r="N475" s="4">
        <v>45714</v>
      </c>
      <c r="O475" t="s">
        <v>32</v>
      </c>
      <c r="P475" s="5">
        <v>1</v>
      </c>
      <c r="Q475" s="6">
        <v>8900</v>
      </c>
      <c r="R475" s="6">
        <v>9975.4599999999991</v>
      </c>
      <c r="S475">
        <v>2</v>
      </c>
      <c r="T475">
        <f t="shared" si="14"/>
        <v>0</v>
      </c>
      <c r="U475">
        <f>IF(COUNTIFS($B$2:B475,B475,$F$2:F475,F475)=1,1,0)</f>
        <v>0</v>
      </c>
      <c r="V475" s="13">
        <f t="shared" si="15"/>
        <v>-1075.4599999999991</v>
      </c>
    </row>
    <row r="476" spans="1:22">
      <c r="A476" t="s">
        <v>742</v>
      </c>
      <c r="B476" t="s">
        <v>145</v>
      </c>
      <c r="C476" t="s">
        <v>146</v>
      </c>
      <c r="D476" t="s">
        <v>56</v>
      </c>
      <c r="E476" t="s">
        <v>57</v>
      </c>
      <c r="F476" t="s">
        <v>26</v>
      </c>
      <c r="G476" t="s">
        <v>59</v>
      </c>
      <c r="H476" t="s">
        <v>722</v>
      </c>
      <c r="I476" t="s">
        <v>86</v>
      </c>
      <c r="J476" t="s">
        <v>69</v>
      </c>
      <c r="K476" t="s">
        <v>143</v>
      </c>
      <c r="L476" s="4">
        <v>46088</v>
      </c>
      <c r="M476" s="4">
        <v>46099</v>
      </c>
      <c r="N476" s="4">
        <v>46112</v>
      </c>
      <c r="O476" t="s">
        <v>32</v>
      </c>
      <c r="P476" s="5">
        <v>1</v>
      </c>
      <c r="Q476" s="6">
        <v>25000</v>
      </c>
      <c r="R476" s="6">
        <v>31777.22</v>
      </c>
      <c r="S476">
        <v>2</v>
      </c>
      <c r="T476">
        <f t="shared" si="14"/>
        <v>13</v>
      </c>
      <c r="U476">
        <f>IF(COUNTIFS($B$2:B476,B476,$F$2:F476,F476)=1,1,0)</f>
        <v>0</v>
      </c>
      <c r="V476" s="13">
        <f t="shared" si="15"/>
        <v>-6777.2200000000012</v>
      </c>
    </row>
    <row r="477" spans="1:22">
      <c r="A477" t="s">
        <v>743</v>
      </c>
      <c r="B477" t="s">
        <v>148</v>
      </c>
      <c r="C477" t="s">
        <v>149</v>
      </c>
      <c r="D477" t="s">
        <v>64</v>
      </c>
      <c r="E477" t="s">
        <v>65</v>
      </c>
      <c r="F477" t="s">
        <v>38</v>
      </c>
      <c r="G477" t="s">
        <v>67</v>
      </c>
      <c r="H477" t="s">
        <v>724</v>
      </c>
      <c r="I477" t="s">
        <v>69</v>
      </c>
      <c r="J477" t="s">
        <v>69</v>
      </c>
      <c r="K477" t="s">
        <v>31</v>
      </c>
      <c r="L477" s="4">
        <v>45900</v>
      </c>
      <c r="M477" s="4">
        <v>45912</v>
      </c>
      <c r="N477" s="4">
        <v>45910</v>
      </c>
      <c r="O477" t="s">
        <v>32</v>
      </c>
      <c r="P477" s="5">
        <v>1</v>
      </c>
      <c r="Q477" s="6">
        <v>22500</v>
      </c>
      <c r="R477" s="6">
        <v>24228.54</v>
      </c>
      <c r="S477">
        <v>4</v>
      </c>
      <c r="T477">
        <f t="shared" si="14"/>
        <v>0</v>
      </c>
      <c r="U477">
        <f>IF(COUNTIFS($B$2:B477,B477,$F$2:F477,F477)=1,1,0)</f>
        <v>0</v>
      </c>
      <c r="V477" s="13">
        <f t="shared" si="15"/>
        <v>-1728.5400000000009</v>
      </c>
    </row>
    <row r="478" spans="1:22">
      <c r="A478" t="s">
        <v>744</v>
      </c>
      <c r="B478" t="s">
        <v>151</v>
      </c>
      <c r="C478" t="s">
        <v>152</v>
      </c>
      <c r="D478" t="s">
        <v>73</v>
      </c>
      <c r="E478" t="s">
        <v>74</v>
      </c>
      <c r="F478" t="s">
        <v>48</v>
      </c>
      <c r="G478" t="s">
        <v>76</v>
      </c>
      <c r="H478" t="s">
        <v>726</v>
      </c>
      <c r="I478" t="s">
        <v>29</v>
      </c>
      <c r="J478" t="s">
        <v>30</v>
      </c>
      <c r="K478" t="s">
        <v>31</v>
      </c>
      <c r="L478" s="4">
        <v>46031</v>
      </c>
      <c r="M478" s="4">
        <v>46034</v>
      </c>
      <c r="N478" s="4">
        <v>46036</v>
      </c>
      <c r="O478" t="s">
        <v>32</v>
      </c>
      <c r="P478" s="5">
        <v>1</v>
      </c>
      <c r="Q478" s="6">
        <v>14000</v>
      </c>
      <c r="R478" s="6">
        <v>13447.45</v>
      </c>
      <c r="S478">
        <v>0</v>
      </c>
      <c r="T478">
        <f t="shared" si="14"/>
        <v>2</v>
      </c>
      <c r="U478">
        <f>IF(COUNTIFS($B$2:B478,B478,$F$2:F478,F478)=1,1,0)</f>
        <v>0</v>
      </c>
      <c r="V478" s="13">
        <f t="shared" si="15"/>
        <v>552.54999999999927</v>
      </c>
    </row>
    <row r="479" spans="1:22">
      <c r="A479" t="s">
        <v>745</v>
      </c>
      <c r="B479" t="s">
        <v>154</v>
      </c>
      <c r="C479" t="s">
        <v>155</v>
      </c>
      <c r="D479" t="s">
        <v>82</v>
      </c>
      <c r="E479" t="s">
        <v>83</v>
      </c>
      <c r="F479" t="s">
        <v>58</v>
      </c>
      <c r="G479" t="s">
        <v>84</v>
      </c>
      <c r="H479" t="s">
        <v>710</v>
      </c>
      <c r="I479" t="s">
        <v>29</v>
      </c>
      <c r="J479" t="s">
        <v>29</v>
      </c>
      <c r="K479" t="s">
        <v>31</v>
      </c>
      <c r="L479" s="4">
        <v>46105</v>
      </c>
      <c r="M479" s="4">
        <v>46133</v>
      </c>
      <c r="N479" s="4"/>
      <c r="O479" t="s">
        <v>52</v>
      </c>
      <c r="P479" s="5">
        <v>0.4</v>
      </c>
      <c r="Q479" s="6">
        <v>36200</v>
      </c>
      <c r="R479" s="6">
        <v>35594.949999999997</v>
      </c>
      <c r="S479">
        <v>1</v>
      </c>
      <c r="T479" t="str">
        <f t="shared" si="14"/>
        <v/>
      </c>
      <c r="U479">
        <f>IF(COUNTIFS($B$2:B479,B479,$F$2:F479,F479)=1,1,0)</f>
        <v>0</v>
      </c>
      <c r="V479" s="13">
        <f t="shared" si="15"/>
        <v>605.05000000000291</v>
      </c>
    </row>
    <row r="480" spans="1:22">
      <c r="A480" t="s">
        <v>746</v>
      </c>
      <c r="B480" t="s">
        <v>157</v>
      </c>
      <c r="C480" t="s">
        <v>158</v>
      </c>
      <c r="D480" t="s">
        <v>24</v>
      </c>
      <c r="E480" t="s">
        <v>25</v>
      </c>
      <c r="F480" t="s">
        <v>66</v>
      </c>
      <c r="G480" t="s">
        <v>90</v>
      </c>
      <c r="H480" t="s">
        <v>712</v>
      </c>
      <c r="I480" t="s">
        <v>69</v>
      </c>
      <c r="J480" t="s">
        <v>30</v>
      </c>
      <c r="K480" t="s">
        <v>31</v>
      </c>
      <c r="L480" s="4">
        <v>46121</v>
      </c>
      <c r="M480" s="4">
        <v>46150</v>
      </c>
      <c r="N480" s="4"/>
      <c r="O480" t="s">
        <v>52</v>
      </c>
      <c r="P480" s="5">
        <v>0.5</v>
      </c>
      <c r="Q480" s="6">
        <v>4900</v>
      </c>
      <c r="R480" s="6">
        <v>4894.05</v>
      </c>
      <c r="S480">
        <v>0</v>
      </c>
      <c r="T480" t="str">
        <f t="shared" si="14"/>
        <v/>
      </c>
      <c r="U480">
        <f>IF(COUNTIFS($B$2:B480,B480,$F$2:F480,F480)=1,1,0)</f>
        <v>0</v>
      </c>
      <c r="V480" s="13">
        <f t="shared" si="15"/>
        <v>5.9499999999998181</v>
      </c>
    </row>
    <row r="481" spans="1:22">
      <c r="A481" t="s">
        <v>747</v>
      </c>
      <c r="B481" t="s">
        <v>160</v>
      </c>
      <c r="C481" t="s">
        <v>161</v>
      </c>
      <c r="D481" t="s">
        <v>36</v>
      </c>
      <c r="E481" t="s">
        <v>37</v>
      </c>
      <c r="F481" t="s">
        <v>75</v>
      </c>
      <c r="G481" t="s">
        <v>27</v>
      </c>
      <c r="H481" t="s">
        <v>716</v>
      </c>
      <c r="I481" t="s">
        <v>69</v>
      </c>
      <c r="J481" t="s">
        <v>29</v>
      </c>
      <c r="K481" t="s">
        <v>78</v>
      </c>
      <c r="L481" s="4">
        <v>46011</v>
      </c>
      <c r="M481" s="4">
        <v>46023</v>
      </c>
      <c r="N481" s="4">
        <v>46019</v>
      </c>
      <c r="O481" t="s">
        <v>32</v>
      </c>
      <c r="P481" s="5">
        <v>1</v>
      </c>
      <c r="Q481" s="6">
        <v>24600</v>
      </c>
      <c r="R481" s="6">
        <v>24885.95</v>
      </c>
      <c r="S481">
        <v>3</v>
      </c>
      <c r="T481">
        <f t="shared" si="14"/>
        <v>0</v>
      </c>
      <c r="U481">
        <f>IF(COUNTIFS($B$2:B481,B481,$F$2:F481,F481)=1,1,0)</f>
        <v>0</v>
      </c>
      <c r="V481" s="13">
        <f t="shared" si="15"/>
        <v>-285.95000000000073</v>
      </c>
    </row>
    <row r="482" spans="1:22">
      <c r="A482" t="s">
        <v>748</v>
      </c>
      <c r="B482" t="s">
        <v>22</v>
      </c>
      <c r="C482" t="s">
        <v>23</v>
      </c>
      <c r="D482" t="s">
        <v>24</v>
      </c>
      <c r="E482" t="s">
        <v>25</v>
      </c>
      <c r="F482" t="s">
        <v>26</v>
      </c>
      <c r="G482" t="s">
        <v>39</v>
      </c>
      <c r="H482" t="s">
        <v>749</v>
      </c>
      <c r="I482" t="s">
        <v>30</v>
      </c>
      <c r="J482" t="s">
        <v>30</v>
      </c>
      <c r="K482" t="s">
        <v>31</v>
      </c>
      <c r="L482" s="4">
        <v>46106</v>
      </c>
      <c r="M482" s="4">
        <v>46128</v>
      </c>
      <c r="N482" s="4"/>
      <c r="O482" t="s">
        <v>32</v>
      </c>
      <c r="P482" s="5">
        <v>0.85</v>
      </c>
      <c r="Q482" s="6">
        <v>28600</v>
      </c>
      <c r="R482" s="6">
        <v>29409.23</v>
      </c>
      <c r="S482">
        <v>1</v>
      </c>
      <c r="T482" t="str">
        <f t="shared" si="14"/>
        <v/>
      </c>
      <c r="U482">
        <f>IF(COUNTIFS($B$2:B482,B482,$F$2:F482,F482)=1,1,0)</f>
        <v>0</v>
      </c>
      <c r="V482" s="13">
        <f t="shared" si="15"/>
        <v>-809.22999999999956</v>
      </c>
    </row>
    <row r="483" spans="1:22">
      <c r="A483" t="s">
        <v>750</v>
      </c>
      <c r="B483" t="s">
        <v>34</v>
      </c>
      <c r="C483" t="s">
        <v>35</v>
      </c>
      <c r="D483" t="s">
        <v>36</v>
      </c>
      <c r="E483" t="s">
        <v>37</v>
      </c>
      <c r="F483" t="s">
        <v>38</v>
      </c>
      <c r="G483" t="s">
        <v>49</v>
      </c>
      <c r="H483" t="s">
        <v>751</v>
      </c>
      <c r="I483" t="s">
        <v>30</v>
      </c>
      <c r="J483" t="s">
        <v>29</v>
      </c>
      <c r="K483" t="s">
        <v>31</v>
      </c>
      <c r="L483" s="4">
        <v>45746</v>
      </c>
      <c r="M483" s="4">
        <v>45758</v>
      </c>
      <c r="N483" s="4"/>
      <c r="O483" t="s">
        <v>32</v>
      </c>
      <c r="P483" s="5">
        <v>0.85</v>
      </c>
      <c r="Q483" s="6">
        <v>20600</v>
      </c>
      <c r="R483" s="6">
        <v>21995.96</v>
      </c>
      <c r="S483">
        <v>2</v>
      </c>
      <c r="T483" t="str">
        <f t="shared" si="14"/>
        <v/>
      </c>
      <c r="U483">
        <f>IF(COUNTIFS($B$2:B483,B483,$F$2:F483,F483)=1,1,0)</f>
        <v>0</v>
      </c>
      <c r="V483" s="13">
        <f t="shared" si="15"/>
        <v>-1395.9599999999991</v>
      </c>
    </row>
    <row r="484" spans="1:22">
      <c r="A484" t="s">
        <v>752</v>
      </c>
      <c r="B484" t="s">
        <v>44</v>
      </c>
      <c r="C484" t="s">
        <v>45</v>
      </c>
      <c r="D484" t="s">
        <v>46</v>
      </c>
      <c r="E484" t="s">
        <v>47</v>
      </c>
      <c r="F484" t="s">
        <v>48</v>
      </c>
      <c r="G484" t="s">
        <v>59</v>
      </c>
      <c r="H484" t="s">
        <v>753</v>
      </c>
      <c r="I484" t="s">
        <v>30</v>
      </c>
      <c r="J484" t="s">
        <v>30</v>
      </c>
      <c r="K484" t="s">
        <v>31</v>
      </c>
      <c r="L484" s="4">
        <v>45802</v>
      </c>
      <c r="M484" s="4">
        <v>45816</v>
      </c>
      <c r="N484" s="4">
        <v>45820</v>
      </c>
      <c r="O484" t="s">
        <v>32</v>
      </c>
      <c r="P484" s="5">
        <v>1</v>
      </c>
      <c r="Q484" s="6">
        <v>38200</v>
      </c>
      <c r="R484" s="6">
        <v>35328.36</v>
      </c>
      <c r="S484">
        <v>2</v>
      </c>
      <c r="T484">
        <f t="shared" si="14"/>
        <v>4</v>
      </c>
      <c r="U484">
        <f>IF(COUNTIFS($B$2:B484,B484,$F$2:F484,F484)=1,1,0)</f>
        <v>0</v>
      </c>
      <c r="V484" s="13">
        <f t="shared" si="15"/>
        <v>2871.6399999999994</v>
      </c>
    </row>
    <row r="485" spans="1:22">
      <c r="A485" t="s">
        <v>754</v>
      </c>
      <c r="B485" t="s">
        <v>54</v>
      </c>
      <c r="C485" t="s">
        <v>55</v>
      </c>
      <c r="D485" t="s">
        <v>56</v>
      </c>
      <c r="E485" t="s">
        <v>57</v>
      </c>
      <c r="F485" t="s">
        <v>58</v>
      </c>
      <c r="G485" t="s">
        <v>67</v>
      </c>
      <c r="H485" t="s">
        <v>755</v>
      </c>
      <c r="I485" t="s">
        <v>69</v>
      </c>
      <c r="J485" t="s">
        <v>30</v>
      </c>
      <c r="K485" t="s">
        <v>143</v>
      </c>
      <c r="L485" s="4">
        <v>46091</v>
      </c>
      <c r="M485" s="4">
        <v>46120</v>
      </c>
      <c r="N485" s="4"/>
      <c r="O485" t="s">
        <v>32</v>
      </c>
      <c r="P485" s="5">
        <v>0.6</v>
      </c>
      <c r="Q485" s="6">
        <v>37500</v>
      </c>
      <c r="R485" s="6">
        <v>37830.879999999997</v>
      </c>
      <c r="S485">
        <v>3</v>
      </c>
      <c r="T485" t="str">
        <f t="shared" si="14"/>
        <v/>
      </c>
      <c r="U485">
        <f>IF(COUNTIFS($B$2:B485,B485,$F$2:F485,F485)=1,1,0)</f>
        <v>0</v>
      </c>
      <c r="V485" s="13">
        <f t="shared" si="15"/>
        <v>-330.87999999999738</v>
      </c>
    </row>
    <row r="486" spans="1:22">
      <c r="A486" t="s">
        <v>756</v>
      </c>
      <c r="B486" t="s">
        <v>62</v>
      </c>
      <c r="C486" t="s">
        <v>63</v>
      </c>
      <c r="D486" t="s">
        <v>64</v>
      </c>
      <c r="E486" t="s">
        <v>65</v>
      </c>
      <c r="F486" t="s">
        <v>66</v>
      </c>
      <c r="G486" t="s">
        <v>76</v>
      </c>
      <c r="H486" t="s">
        <v>757</v>
      </c>
      <c r="I486" t="s">
        <v>29</v>
      </c>
      <c r="J486" t="s">
        <v>29</v>
      </c>
      <c r="K486" t="s">
        <v>31</v>
      </c>
      <c r="L486" s="4">
        <v>45811</v>
      </c>
      <c r="M486" s="4">
        <v>45820</v>
      </c>
      <c r="N486" s="4">
        <v>45830</v>
      </c>
      <c r="O486" t="s">
        <v>32</v>
      </c>
      <c r="P486" s="5">
        <v>1</v>
      </c>
      <c r="Q486" s="6">
        <v>35000</v>
      </c>
      <c r="R486" s="6">
        <v>24874.35</v>
      </c>
      <c r="S486">
        <v>1</v>
      </c>
      <c r="T486">
        <f t="shared" si="14"/>
        <v>10</v>
      </c>
      <c r="U486">
        <f>IF(COUNTIFS($B$2:B486,B486,$F$2:F486,F486)=1,1,0)</f>
        <v>0</v>
      </c>
      <c r="V486" s="13">
        <f t="shared" si="15"/>
        <v>10125.650000000001</v>
      </c>
    </row>
    <row r="487" spans="1:22">
      <c r="A487" t="s">
        <v>758</v>
      </c>
      <c r="B487" t="s">
        <v>71</v>
      </c>
      <c r="C487" t="s">
        <v>72</v>
      </c>
      <c r="D487" t="s">
        <v>73</v>
      </c>
      <c r="E487" t="s">
        <v>74</v>
      </c>
      <c r="F487" t="s">
        <v>75</v>
      </c>
      <c r="G487" t="s">
        <v>84</v>
      </c>
      <c r="H487" t="s">
        <v>759</v>
      </c>
      <c r="I487" t="s">
        <v>29</v>
      </c>
      <c r="J487" t="s">
        <v>29</v>
      </c>
      <c r="K487" t="s">
        <v>31</v>
      </c>
      <c r="L487" s="4">
        <v>45870</v>
      </c>
      <c r="M487" s="4">
        <v>45878</v>
      </c>
      <c r="N487" s="4">
        <v>45896</v>
      </c>
      <c r="O487" t="s">
        <v>32</v>
      </c>
      <c r="P487" s="5">
        <v>1</v>
      </c>
      <c r="Q487" s="6">
        <v>24200</v>
      </c>
      <c r="R487" s="6">
        <v>26325.79</v>
      </c>
      <c r="S487">
        <v>2</v>
      </c>
      <c r="T487">
        <f t="shared" si="14"/>
        <v>18</v>
      </c>
      <c r="U487">
        <f>IF(COUNTIFS($B$2:B487,B487,$F$2:F487,F487)=1,1,0)</f>
        <v>0</v>
      </c>
      <c r="V487" s="13">
        <f t="shared" si="15"/>
        <v>-2125.7900000000009</v>
      </c>
    </row>
    <row r="488" spans="1:22">
      <c r="A488" t="s">
        <v>760</v>
      </c>
      <c r="B488" t="s">
        <v>80</v>
      </c>
      <c r="C488" t="s">
        <v>81</v>
      </c>
      <c r="D488" t="s">
        <v>82</v>
      </c>
      <c r="E488" t="s">
        <v>83</v>
      </c>
      <c r="F488" t="s">
        <v>26</v>
      </c>
      <c r="G488" t="s">
        <v>90</v>
      </c>
      <c r="H488" t="s">
        <v>761</v>
      </c>
      <c r="I488" t="s">
        <v>29</v>
      </c>
      <c r="J488" t="s">
        <v>69</v>
      </c>
      <c r="K488" t="s">
        <v>41</v>
      </c>
      <c r="L488" s="4">
        <v>45832</v>
      </c>
      <c r="M488" s="4">
        <v>45838</v>
      </c>
      <c r="N488" s="4"/>
      <c r="O488" t="s">
        <v>32</v>
      </c>
      <c r="P488" s="5">
        <v>0.6</v>
      </c>
      <c r="Q488" s="6">
        <v>15600</v>
      </c>
      <c r="R488" s="6">
        <v>19139.46</v>
      </c>
      <c r="S488">
        <v>4</v>
      </c>
      <c r="T488" t="str">
        <f t="shared" si="14"/>
        <v/>
      </c>
      <c r="U488">
        <f>IF(COUNTIFS($B$2:B488,B488,$F$2:F488,F488)=1,1,0)</f>
        <v>0</v>
      </c>
      <c r="V488" s="13">
        <f t="shared" si="15"/>
        <v>-3539.4599999999991</v>
      </c>
    </row>
    <row r="489" spans="1:22">
      <c r="A489" t="s">
        <v>762</v>
      </c>
      <c r="B489" t="s">
        <v>88</v>
      </c>
      <c r="C489" t="s">
        <v>89</v>
      </c>
      <c r="D489" t="s">
        <v>24</v>
      </c>
      <c r="E489" t="s">
        <v>25</v>
      </c>
      <c r="F489" t="s">
        <v>38</v>
      </c>
      <c r="G489" t="s">
        <v>95</v>
      </c>
      <c r="H489" t="s">
        <v>763</v>
      </c>
      <c r="I489" t="s">
        <v>30</v>
      </c>
      <c r="J489" t="s">
        <v>29</v>
      </c>
      <c r="K489" t="s">
        <v>31</v>
      </c>
      <c r="L489" s="4">
        <v>45744</v>
      </c>
      <c r="M489" s="4">
        <v>45765</v>
      </c>
      <c r="N489" s="4">
        <v>45772</v>
      </c>
      <c r="O489" t="s">
        <v>32</v>
      </c>
      <c r="P489" s="5">
        <v>1</v>
      </c>
      <c r="Q489" s="6">
        <v>22200</v>
      </c>
      <c r="R489" s="6">
        <v>20707.93</v>
      </c>
      <c r="S489">
        <v>1</v>
      </c>
      <c r="T489">
        <f t="shared" si="14"/>
        <v>7</v>
      </c>
      <c r="U489">
        <f>IF(COUNTIFS($B$2:B489,B489,$F$2:F489,F489)=1,1,0)</f>
        <v>0</v>
      </c>
      <c r="V489" s="13">
        <f t="shared" si="15"/>
        <v>1492.0699999999997</v>
      </c>
    </row>
    <row r="490" spans="1:22">
      <c r="A490" t="s">
        <v>764</v>
      </c>
      <c r="B490" t="s">
        <v>93</v>
      </c>
      <c r="C490" t="s">
        <v>94</v>
      </c>
      <c r="D490" t="s">
        <v>36</v>
      </c>
      <c r="E490" t="s">
        <v>37</v>
      </c>
      <c r="F490" t="s">
        <v>48</v>
      </c>
      <c r="G490" t="s">
        <v>27</v>
      </c>
      <c r="H490" t="s">
        <v>765</v>
      </c>
      <c r="I490" t="s">
        <v>30</v>
      </c>
      <c r="J490" t="s">
        <v>30</v>
      </c>
      <c r="K490" t="s">
        <v>31</v>
      </c>
      <c r="L490" s="4">
        <v>46126</v>
      </c>
      <c r="M490" s="4">
        <v>46153</v>
      </c>
      <c r="N490" s="4">
        <v>46164</v>
      </c>
      <c r="O490" t="s">
        <v>32</v>
      </c>
      <c r="P490" s="5">
        <v>1</v>
      </c>
      <c r="Q490" s="6">
        <v>32000</v>
      </c>
      <c r="R490" s="6">
        <v>34497.17</v>
      </c>
      <c r="S490">
        <v>1</v>
      </c>
      <c r="T490">
        <f t="shared" si="14"/>
        <v>11</v>
      </c>
      <c r="U490">
        <f>IF(COUNTIFS($B$2:B490,B490,$F$2:F490,F490)=1,1,0)</f>
        <v>0</v>
      </c>
      <c r="V490" s="13">
        <f t="shared" si="15"/>
        <v>-2497.1699999999983</v>
      </c>
    </row>
    <row r="491" spans="1:22">
      <c r="A491" t="s">
        <v>766</v>
      </c>
      <c r="B491" t="s">
        <v>98</v>
      </c>
      <c r="C491" t="s">
        <v>99</v>
      </c>
      <c r="D491" t="s">
        <v>46</v>
      </c>
      <c r="E491" t="s">
        <v>47</v>
      </c>
      <c r="F491" t="s">
        <v>58</v>
      </c>
      <c r="G491" t="s">
        <v>39</v>
      </c>
      <c r="H491" t="s">
        <v>749</v>
      </c>
      <c r="I491" t="s">
        <v>29</v>
      </c>
      <c r="J491" t="s">
        <v>69</v>
      </c>
      <c r="K491" t="s">
        <v>78</v>
      </c>
      <c r="L491" s="4">
        <v>45803</v>
      </c>
      <c r="M491" s="4">
        <v>45831</v>
      </c>
      <c r="N491" s="4">
        <v>45829</v>
      </c>
      <c r="O491" t="s">
        <v>32</v>
      </c>
      <c r="P491" s="5">
        <v>1</v>
      </c>
      <c r="Q491" s="6">
        <v>33400</v>
      </c>
      <c r="R491" s="6">
        <v>39284.71</v>
      </c>
      <c r="S491">
        <v>3</v>
      </c>
      <c r="T491">
        <f t="shared" si="14"/>
        <v>0</v>
      </c>
      <c r="U491">
        <f>IF(COUNTIFS($B$2:B491,B491,$F$2:F491,F491)=1,1,0)</f>
        <v>0</v>
      </c>
      <c r="V491" s="13">
        <f t="shared" si="15"/>
        <v>-5884.7099999999991</v>
      </c>
    </row>
    <row r="492" spans="1:22">
      <c r="A492" t="s">
        <v>767</v>
      </c>
      <c r="B492" t="s">
        <v>101</v>
      </c>
      <c r="C492" t="s">
        <v>102</v>
      </c>
      <c r="D492" t="s">
        <v>56</v>
      </c>
      <c r="E492" t="s">
        <v>57</v>
      </c>
      <c r="F492" t="s">
        <v>66</v>
      </c>
      <c r="G492" t="s">
        <v>49</v>
      </c>
      <c r="H492" t="s">
        <v>751</v>
      </c>
      <c r="I492" t="s">
        <v>69</v>
      </c>
      <c r="J492" t="s">
        <v>30</v>
      </c>
      <c r="K492" t="s">
        <v>31</v>
      </c>
      <c r="L492" s="4">
        <v>46121</v>
      </c>
      <c r="M492" s="4">
        <v>46141</v>
      </c>
      <c r="N492" s="4"/>
      <c r="O492" t="s">
        <v>52</v>
      </c>
      <c r="P492" s="5">
        <v>0.85</v>
      </c>
      <c r="Q492" s="6">
        <v>22800</v>
      </c>
      <c r="R492" s="6">
        <v>20386.490000000002</v>
      </c>
      <c r="S492">
        <v>1</v>
      </c>
      <c r="T492" t="str">
        <f t="shared" si="14"/>
        <v/>
      </c>
      <c r="U492">
        <f>IF(COUNTIFS($B$2:B492,B492,$F$2:F492,F492)=1,1,0)</f>
        <v>0</v>
      </c>
      <c r="V492" s="13">
        <f t="shared" si="15"/>
        <v>2413.5099999999984</v>
      </c>
    </row>
    <row r="493" spans="1:22">
      <c r="A493" t="s">
        <v>768</v>
      </c>
      <c r="B493" t="s">
        <v>104</v>
      </c>
      <c r="C493" t="s">
        <v>105</v>
      </c>
      <c r="D493" t="s">
        <v>64</v>
      </c>
      <c r="E493" t="s">
        <v>65</v>
      </c>
      <c r="F493" t="s">
        <v>75</v>
      </c>
      <c r="G493" t="s">
        <v>59</v>
      </c>
      <c r="H493" t="s">
        <v>753</v>
      </c>
      <c r="I493" t="s">
        <v>29</v>
      </c>
      <c r="J493" t="s">
        <v>30</v>
      </c>
      <c r="K493" t="s">
        <v>41</v>
      </c>
      <c r="L493" s="4">
        <v>46183</v>
      </c>
      <c r="M493" s="4">
        <v>46191</v>
      </c>
      <c r="N493" s="4"/>
      <c r="O493" t="s">
        <v>42</v>
      </c>
      <c r="P493" s="5">
        <v>0</v>
      </c>
      <c r="Q493" s="6">
        <v>8200</v>
      </c>
      <c r="R493" s="6">
        <v>0</v>
      </c>
      <c r="S493">
        <v>2</v>
      </c>
      <c r="T493" t="str">
        <f t="shared" si="14"/>
        <v/>
      </c>
      <c r="U493">
        <f>IF(COUNTIFS($B$2:B493,B493,$F$2:F493,F493)=1,1,0)</f>
        <v>0</v>
      </c>
      <c r="V493" s="13">
        <f t="shared" si="15"/>
        <v>8200</v>
      </c>
    </row>
    <row r="494" spans="1:22">
      <c r="A494" t="s">
        <v>769</v>
      </c>
      <c r="B494" t="s">
        <v>107</v>
      </c>
      <c r="C494" t="s">
        <v>108</v>
      </c>
      <c r="D494" t="s">
        <v>73</v>
      </c>
      <c r="E494" t="s">
        <v>74</v>
      </c>
      <c r="F494" t="s">
        <v>26</v>
      </c>
      <c r="G494" t="s">
        <v>67</v>
      </c>
      <c r="H494" t="s">
        <v>755</v>
      </c>
      <c r="I494" t="s">
        <v>29</v>
      </c>
      <c r="J494" t="s">
        <v>30</v>
      </c>
      <c r="K494" t="s">
        <v>51</v>
      </c>
      <c r="L494" s="4">
        <v>46039</v>
      </c>
      <c r="M494" s="4">
        <v>46065</v>
      </c>
      <c r="N494" s="4"/>
      <c r="O494" t="s">
        <v>52</v>
      </c>
      <c r="P494" s="5">
        <v>0.25</v>
      </c>
      <c r="Q494" s="6">
        <v>28500</v>
      </c>
      <c r="R494" s="6">
        <v>26204.240000000002</v>
      </c>
      <c r="S494">
        <v>3</v>
      </c>
      <c r="T494" t="str">
        <f t="shared" si="14"/>
        <v/>
      </c>
      <c r="U494">
        <f>IF(COUNTIFS($B$2:B494,B494,$F$2:F494,F494)=1,1,0)</f>
        <v>0</v>
      </c>
      <c r="V494" s="13">
        <f t="shared" si="15"/>
        <v>2295.7599999999984</v>
      </c>
    </row>
    <row r="495" spans="1:22">
      <c r="A495" t="s">
        <v>770</v>
      </c>
      <c r="B495" t="s">
        <v>111</v>
      </c>
      <c r="C495" t="s">
        <v>112</v>
      </c>
      <c r="D495" t="s">
        <v>82</v>
      </c>
      <c r="E495" t="s">
        <v>83</v>
      </c>
      <c r="F495" t="s">
        <v>38</v>
      </c>
      <c r="G495" t="s">
        <v>76</v>
      </c>
      <c r="H495" t="s">
        <v>757</v>
      </c>
      <c r="I495" t="s">
        <v>29</v>
      </c>
      <c r="J495" t="s">
        <v>30</v>
      </c>
      <c r="K495" t="s">
        <v>178</v>
      </c>
      <c r="L495" s="4">
        <v>45806</v>
      </c>
      <c r="M495" s="4">
        <v>45815</v>
      </c>
      <c r="N495" s="4">
        <v>45808</v>
      </c>
      <c r="O495" t="s">
        <v>32</v>
      </c>
      <c r="P495" s="5">
        <v>1</v>
      </c>
      <c r="Q495" s="6">
        <v>28200</v>
      </c>
      <c r="R495" s="6">
        <v>28824.49</v>
      </c>
      <c r="S495">
        <v>0</v>
      </c>
      <c r="T495">
        <f t="shared" si="14"/>
        <v>0</v>
      </c>
      <c r="U495">
        <f>IF(COUNTIFS($B$2:B495,B495,$F$2:F495,F495)=1,1,0)</f>
        <v>0</v>
      </c>
      <c r="V495" s="13">
        <f t="shared" si="15"/>
        <v>-624.4900000000016</v>
      </c>
    </row>
    <row r="496" spans="1:22">
      <c r="A496" t="s">
        <v>771</v>
      </c>
      <c r="B496" t="s">
        <v>114</v>
      </c>
      <c r="C496" t="s">
        <v>115</v>
      </c>
      <c r="D496" t="s">
        <v>24</v>
      </c>
      <c r="E496" t="s">
        <v>25</v>
      </c>
      <c r="F496" t="s">
        <v>48</v>
      </c>
      <c r="G496" t="s">
        <v>84</v>
      </c>
      <c r="H496" t="s">
        <v>759</v>
      </c>
      <c r="I496" t="s">
        <v>30</v>
      </c>
      <c r="J496" t="s">
        <v>29</v>
      </c>
      <c r="K496" t="s">
        <v>31</v>
      </c>
      <c r="L496" s="4">
        <v>45998</v>
      </c>
      <c r="M496" s="4">
        <v>46006</v>
      </c>
      <c r="N496" s="4">
        <v>46017</v>
      </c>
      <c r="O496" t="s">
        <v>32</v>
      </c>
      <c r="P496" s="5">
        <v>1</v>
      </c>
      <c r="Q496" s="6">
        <v>10300</v>
      </c>
      <c r="R496" s="6">
        <v>9991.51</v>
      </c>
      <c r="S496">
        <v>2</v>
      </c>
      <c r="T496">
        <f t="shared" si="14"/>
        <v>11</v>
      </c>
      <c r="U496">
        <f>IF(COUNTIFS($B$2:B496,B496,$F$2:F496,F496)=1,1,0)</f>
        <v>0</v>
      </c>
      <c r="V496" s="13">
        <f t="shared" si="15"/>
        <v>308.48999999999978</v>
      </c>
    </row>
    <row r="497" spans="1:22">
      <c r="A497" t="s">
        <v>772</v>
      </c>
      <c r="B497" t="s">
        <v>117</v>
      </c>
      <c r="C497" t="s">
        <v>118</v>
      </c>
      <c r="D497" t="s">
        <v>36</v>
      </c>
      <c r="E497" t="s">
        <v>37</v>
      </c>
      <c r="F497" t="s">
        <v>58</v>
      </c>
      <c r="G497" t="s">
        <v>90</v>
      </c>
      <c r="H497" t="s">
        <v>761</v>
      </c>
      <c r="I497" t="s">
        <v>69</v>
      </c>
      <c r="J497" t="s">
        <v>29</v>
      </c>
      <c r="K497" t="s">
        <v>51</v>
      </c>
      <c r="L497" s="4">
        <v>46013</v>
      </c>
      <c r="M497" s="4">
        <v>46035</v>
      </c>
      <c r="N497" s="4">
        <v>46037</v>
      </c>
      <c r="O497" t="s">
        <v>32</v>
      </c>
      <c r="P497" s="5">
        <v>1</v>
      </c>
      <c r="Q497" s="6">
        <v>27900</v>
      </c>
      <c r="R497" s="6">
        <v>31387.67</v>
      </c>
      <c r="S497">
        <v>4</v>
      </c>
      <c r="T497">
        <f t="shared" si="14"/>
        <v>2</v>
      </c>
      <c r="U497">
        <f>IF(COUNTIFS($B$2:B497,B497,$F$2:F497,F497)=1,1,0)</f>
        <v>0</v>
      </c>
      <c r="V497" s="13">
        <f t="shared" si="15"/>
        <v>-3487.6699999999983</v>
      </c>
    </row>
    <row r="498" spans="1:22">
      <c r="A498" t="s">
        <v>773</v>
      </c>
      <c r="B498" t="s">
        <v>120</v>
      </c>
      <c r="C498" t="s">
        <v>121</v>
      </c>
      <c r="D498" t="s">
        <v>46</v>
      </c>
      <c r="E498" t="s">
        <v>47</v>
      </c>
      <c r="F498" t="s">
        <v>66</v>
      </c>
      <c r="G498" t="s">
        <v>95</v>
      </c>
      <c r="H498" t="s">
        <v>763</v>
      </c>
      <c r="I498" t="s">
        <v>29</v>
      </c>
      <c r="J498" t="s">
        <v>30</v>
      </c>
      <c r="K498" t="s">
        <v>41</v>
      </c>
      <c r="L498" s="4">
        <v>45699</v>
      </c>
      <c r="M498" s="4">
        <v>45716</v>
      </c>
      <c r="N498" s="4">
        <v>45725</v>
      </c>
      <c r="O498" t="s">
        <v>32</v>
      </c>
      <c r="P498" s="5">
        <v>1</v>
      </c>
      <c r="Q498" s="6">
        <v>4100</v>
      </c>
      <c r="R498" s="6">
        <v>3187.63</v>
      </c>
      <c r="S498">
        <v>0</v>
      </c>
      <c r="T498">
        <f t="shared" si="14"/>
        <v>9</v>
      </c>
      <c r="U498">
        <f>IF(COUNTIFS($B$2:B498,B498,$F$2:F498,F498)=1,1,0)</f>
        <v>0</v>
      </c>
      <c r="V498" s="13">
        <f t="shared" si="15"/>
        <v>912.36999999999989</v>
      </c>
    </row>
    <row r="499" spans="1:22">
      <c r="A499" t="s">
        <v>774</v>
      </c>
      <c r="B499" t="s">
        <v>123</v>
      </c>
      <c r="C499" t="s">
        <v>124</v>
      </c>
      <c r="D499" t="s">
        <v>56</v>
      </c>
      <c r="E499" t="s">
        <v>57</v>
      </c>
      <c r="F499" t="s">
        <v>75</v>
      </c>
      <c r="G499" t="s">
        <v>27</v>
      </c>
      <c r="H499" t="s">
        <v>765</v>
      </c>
      <c r="I499" t="s">
        <v>29</v>
      </c>
      <c r="J499" t="s">
        <v>30</v>
      </c>
      <c r="K499" t="s">
        <v>78</v>
      </c>
      <c r="L499" s="4">
        <v>45746</v>
      </c>
      <c r="M499" s="4">
        <v>45765</v>
      </c>
      <c r="N499" s="4"/>
      <c r="O499" t="s">
        <v>42</v>
      </c>
      <c r="P499" s="5">
        <v>0</v>
      </c>
      <c r="Q499" s="6">
        <v>4600</v>
      </c>
      <c r="R499" s="6">
        <v>0</v>
      </c>
      <c r="S499">
        <v>4</v>
      </c>
      <c r="T499" t="str">
        <f t="shared" si="14"/>
        <v/>
      </c>
      <c r="U499">
        <f>IF(COUNTIFS($B$2:B499,B499,$F$2:F499,F499)=1,1,0)</f>
        <v>0</v>
      </c>
      <c r="V499" s="13">
        <f t="shared" si="15"/>
        <v>4600</v>
      </c>
    </row>
    <row r="500" spans="1:22">
      <c r="A500" t="s">
        <v>775</v>
      </c>
      <c r="B500" t="s">
        <v>126</v>
      </c>
      <c r="C500" t="s">
        <v>127</v>
      </c>
      <c r="D500" t="s">
        <v>64</v>
      </c>
      <c r="E500" t="s">
        <v>65</v>
      </c>
      <c r="F500" t="s">
        <v>26</v>
      </c>
      <c r="G500" t="s">
        <v>39</v>
      </c>
      <c r="H500" t="s">
        <v>749</v>
      </c>
      <c r="I500" t="s">
        <v>86</v>
      </c>
      <c r="J500" t="s">
        <v>30</v>
      </c>
      <c r="K500" t="s">
        <v>78</v>
      </c>
      <c r="L500" s="4">
        <v>45846</v>
      </c>
      <c r="M500" s="4">
        <v>45861</v>
      </c>
      <c r="N500" s="4"/>
      <c r="O500" t="s">
        <v>52</v>
      </c>
      <c r="P500" s="5">
        <v>0.75</v>
      </c>
      <c r="Q500" s="6">
        <v>30100</v>
      </c>
      <c r="R500" s="6">
        <v>23429.32</v>
      </c>
      <c r="S500">
        <v>0</v>
      </c>
      <c r="T500" t="str">
        <f t="shared" si="14"/>
        <v/>
      </c>
      <c r="U500">
        <f>IF(COUNTIFS($B$2:B500,B500,$F$2:F500,F500)=1,1,0)</f>
        <v>0</v>
      </c>
      <c r="V500" s="13">
        <f t="shared" si="15"/>
        <v>6670.68</v>
      </c>
    </row>
    <row r="501" spans="1:22">
      <c r="A501" t="s">
        <v>776</v>
      </c>
      <c r="B501" t="s">
        <v>129</v>
      </c>
      <c r="C501" t="s">
        <v>130</v>
      </c>
      <c r="D501" t="s">
        <v>73</v>
      </c>
      <c r="E501" t="s">
        <v>74</v>
      </c>
      <c r="F501" t="s">
        <v>38</v>
      </c>
      <c r="G501" t="s">
        <v>49</v>
      </c>
      <c r="H501" t="s">
        <v>751</v>
      </c>
      <c r="I501" t="s">
        <v>29</v>
      </c>
      <c r="J501" t="s">
        <v>29</v>
      </c>
      <c r="K501" t="s">
        <v>78</v>
      </c>
      <c r="L501" s="4">
        <v>45921</v>
      </c>
      <c r="M501" s="4">
        <v>45935</v>
      </c>
      <c r="N501" s="4">
        <v>45935</v>
      </c>
      <c r="O501" t="s">
        <v>32</v>
      </c>
      <c r="P501" s="5">
        <v>1</v>
      </c>
      <c r="Q501" s="6">
        <v>6000</v>
      </c>
      <c r="R501" s="6">
        <v>5454.12</v>
      </c>
      <c r="S501">
        <v>2</v>
      </c>
      <c r="T501">
        <f t="shared" si="14"/>
        <v>0</v>
      </c>
      <c r="U501">
        <f>IF(COUNTIFS($B$2:B501,B501,$F$2:F501,F501)=1,1,0)</f>
        <v>0</v>
      </c>
      <c r="V501" s="13">
        <f t="shared" si="15"/>
        <v>545.88000000000011</v>
      </c>
    </row>
    <row r="502" spans="1:22">
      <c r="A502" t="s">
        <v>777</v>
      </c>
      <c r="B502" t="s">
        <v>132</v>
      </c>
      <c r="C502" t="s">
        <v>133</v>
      </c>
      <c r="D502" t="s">
        <v>82</v>
      </c>
      <c r="E502" t="s">
        <v>83</v>
      </c>
      <c r="F502" t="s">
        <v>48</v>
      </c>
      <c r="G502" t="s">
        <v>59</v>
      </c>
      <c r="H502" t="s">
        <v>753</v>
      </c>
      <c r="I502" t="s">
        <v>29</v>
      </c>
      <c r="J502" t="s">
        <v>29</v>
      </c>
      <c r="K502" t="s">
        <v>143</v>
      </c>
      <c r="L502" s="4">
        <v>45895</v>
      </c>
      <c r="M502" s="4">
        <v>45909</v>
      </c>
      <c r="N502" s="4">
        <v>45902</v>
      </c>
      <c r="O502" t="s">
        <v>32</v>
      </c>
      <c r="P502" s="5">
        <v>1</v>
      </c>
      <c r="Q502" s="6">
        <v>25400</v>
      </c>
      <c r="R502" s="6">
        <v>31300.720000000001</v>
      </c>
      <c r="S502">
        <v>2</v>
      </c>
      <c r="T502">
        <f t="shared" si="14"/>
        <v>0</v>
      </c>
      <c r="U502">
        <f>IF(COUNTIFS($B$2:B502,B502,$F$2:F502,F502)=1,1,0)</f>
        <v>0</v>
      </c>
      <c r="V502" s="13">
        <f t="shared" si="15"/>
        <v>-5900.7200000000012</v>
      </c>
    </row>
    <row r="503" spans="1:22">
      <c r="A503" t="s">
        <v>778</v>
      </c>
      <c r="B503" t="s">
        <v>135</v>
      </c>
      <c r="C503" t="s">
        <v>136</v>
      </c>
      <c r="D503" t="s">
        <v>24</v>
      </c>
      <c r="E503" t="s">
        <v>25</v>
      </c>
      <c r="F503" t="s">
        <v>58</v>
      </c>
      <c r="G503" t="s">
        <v>67</v>
      </c>
      <c r="H503" t="s">
        <v>755</v>
      </c>
      <c r="I503" t="s">
        <v>29</v>
      </c>
      <c r="J503" t="s">
        <v>29</v>
      </c>
      <c r="K503" t="s">
        <v>41</v>
      </c>
      <c r="L503" s="4">
        <v>46003</v>
      </c>
      <c r="M503" s="4">
        <v>46025</v>
      </c>
      <c r="N503" s="4"/>
      <c r="O503" t="s">
        <v>52</v>
      </c>
      <c r="P503" s="5">
        <v>0.75</v>
      </c>
      <c r="Q503" s="6">
        <v>10800</v>
      </c>
      <c r="R503" s="6">
        <v>11283.23</v>
      </c>
      <c r="S503">
        <v>0</v>
      </c>
      <c r="T503" t="str">
        <f t="shared" si="14"/>
        <v/>
      </c>
      <c r="U503">
        <f>IF(COUNTIFS($B$2:B503,B503,$F$2:F503,F503)=1,1,0)</f>
        <v>0</v>
      </c>
      <c r="V503" s="13">
        <f t="shared" si="15"/>
        <v>-483.22999999999956</v>
      </c>
    </row>
    <row r="504" spans="1:22">
      <c r="A504" t="s">
        <v>779</v>
      </c>
      <c r="B504" t="s">
        <v>138</v>
      </c>
      <c r="C504" t="s">
        <v>139</v>
      </c>
      <c r="D504" t="s">
        <v>36</v>
      </c>
      <c r="E504" t="s">
        <v>37</v>
      </c>
      <c r="F504" t="s">
        <v>66</v>
      </c>
      <c r="G504" t="s">
        <v>76</v>
      </c>
      <c r="H504" t="s">
        <v>757</v>
      </c>
      <c r="I504" t="s">
        <v>29</v>
      </c>
      <c r="J504" t="s">
        <v>69</v>
      </c>
      <c r="K504" t="s">
        <v>31</v>
      </c>
      <c r="L504" s="4">
        <v>46072</v>
      </c>
      <c r="M504" s="4">
        <v>46075</v>
      </c>
      <c r="N504" s="4">
        <v>46086</v>
      </c>
      <c r="O504" t="s">
        <v>32</v>
      </c>
      <c r="P504" s="5">
        <v>1</v>
      </c>
      <c r="Q504" s="6">
        <v>24000</v>
      </c>
      <c r="R504" s="6">
        <v>25300.22</v>
      </c>
      <c r="S504">
        <v>4</v>
      </c>
      <c r="T504">
        <f t="shared" si="14"/>
        <v>11</v>
      </c>
      <c r="U504">
        <f>IF(COUNTIFS($B$2:B504,B504,$F$2:F504,F504)=1,1,0)</f>
        <v>0</v>
      </c>
      <c r="V504" s="13">
        <f t="shared" si="15"/>
        <v>-1300.2200000000012</v>
      </c>
    </row>
    <row r="505" spans="1:22">
      <c r="A505" t="s">
        <v>780</v>
      </c>
      <c r="B505" t="s">
        <v>141</v>
      </c>
      <c r="C505" t="s">
        <v>142</v>
      </c>
      <c r="D505" t="s">
        <v>46</v>
      </c>
      <c r="E505" t="s">
        <v>47</v>
      </c>
      <c r="F505" t="s">
        <v>75</v>
      </c>
      <c r="G505" t="s">
        <v>84</v>
      </c>
      <c r="H505" t="s">
        <v>759</v>
      </c>
      <c r="I505" t="s">
        <v>29</v>
      </c>
      <c r="J505" t="s">
        <v>30</v>
      </c>
      <c r="K505" t="s">
        <v>41</v>
      </c>
      <c r="L505" s="4">
        <v>45681</v>
      </c>
      <c r="M505" s="4">
        <v>45708</v>
      </c>
      <c r="N505" s="4">
        <v>45710</v>
      </c>
      <c r="O505" t="s">
        <v>32</v>
      </c>
      <c r="P505" s="5">
        <v>1</v>
      </c>
      <c r="Q505" s="6">
        <v>31500</v>
      </c>
      <c r="R505" s="6">
        <v>31415.37</v>
      </c>
      <c r="S505">
        <v>3</v>
      </c>
      <c r="T505">
        <f t="shared" si="14"/>
        <v>2</v>
      </c>
      <c r="U505">
        <f>IF(COUNTIFS($B$2:B505,B505,$F$2:F505,F505)=1,1,0)</f>
        <v>0</v>
      </c>
      <c r="V505" s="13">
        <f t="shared" si="15"/>
        <v>84.630000000001019</v>
      </c>
    </row>
    <row r="506" spans="1:22">
      <c r="A506" t="s">
        <v>781</v>
      </c>
      <c r="B506" t="s">
        <v>145</v>
      </c>
      <c r="C506" t="s">
        <v>146</v>
      </c>
      <c r="D506" t="s">
        <v>56</v>
      </c>
      <c r="E506" t="s">
        <v>57</v>
      </c>
      <c r="F506" t="s">
        <v>26</v>
      </c>
      <c r="G506" t="s">
        <v>90</v>
      </c>
      <c r="H506" t="s">
        <v>761</v>
      </c>
      <c r="I506" t="s">
        <v>29</v>
      </c>
      <c r="J506" t="s">
        <v>69</v>
      </c>
      <c r="K506" t="s">
        <v>31</v>
      </c>
      <c r="L506" s="4">
        <v>45959</v>
      </c>
      <c r="M506" s="4">
        <v>45976</v>
      </c>
      <c r="N506" s="4"/>
      <c r="O506" t="s">
        <v>52</v>
      </c>
      <c r="P506" s="5">
        <v>0.4</v>
      </c>
      <c r="Q506" s="6">
        <v>13000</v>
      </c>
      <c r="R506" s="6">
        <v>14743.86</v>
      </c>
      <c r="S506">
        <v>2</v>
      </c>
      <c r="T506" t="str">
        <f t="shared" si="14"/>
        <v/>
      </c>
      <c r="U506">
        <f>IF(COUNTIFS($B$2:B506,B506,$F$2:F506,F506)=1,1,0)</f>
        <v>0</v>
      </c>
      <c r="V506" s="13">
        <f t="shared" si="15"/>
        <v>-1743.8600000000006</v>
      </c>
    </row>
    <row r="507" spans="1:22">
      <c r="A507" t="s">
        <v>782</v>
      </c>
      <c r="B507" t="s">
        <v>148</v>
      </c>
      <c r="C507" t="s">
        <v>149</v>
      </c>
      <c r="D507" t="s">
        <v>64</v>
      </c>
      <c r="E507" t="s">
        <v>65</v>
      </c>
      <c r="F507" t="s">
        <v>38</v>
      </c>
      <c r="G507" t="s">
        <v>95</v>
      </c>
      <c r="H507" t="s">
        <v>763</v>
      </c>
      <c r="I507" t="s">
        <v>29</v>
      </c>
      <c r="J507" t="s">
        <v>30</v>
      </c>
      <c r="K507" t="s">
        <v>51</v>
      </c>
      <c r="L507" s="4">
        <v>45909</v>
      </c>
      <c r="M507" s="4">
        <v>45918</v>
      </c>
      <c r="N507" s="4">
        <v>45918</v>
      </c>
      <c r="O507" t="s">
        <v>32</v>
      </c>
      <c r="P507" s="5">
        <v>1</v>
      </c>
      <c r="Q507" s="6">
        <v>9000</v>
      </c>
      <c r="R507" s="6">
        <v>7447.31</v>
      </c>
      <c r="S507">
        <v>2</v>
      </c>
      <c r="T507">
        <f t="shared" si="14"/>
        <v>0</v>
      </c>
      <c r="U507">
        <f>IF(COUNTIFS($B$2:B507,B507,$F$2:F507,F507)=1,1,0)</f>
        <v>0</v>
      </c>
      <c r="V507" s="13">
        <f t="shared" si="15"/>
        <v>1552.6899999999996</v>
      </c>
    </row>
    <row r="508" spans="1:22">
      <c r="A508" t="s">
        <v>783</v>
      </c>
      <c r="B508" t="s">
        <v>151</v>
      </c>
      <c r="C508" t="s">
        <v>152</v>
      </c>
      <c r="D508" t="s">
        <v>73</v>
      </c>
      <c r="E508" t="s">
        <v>74</v>
      </c>
      <c r="F508" t="s">
        <v>48</v>
      </c>
      <c r="G508" t="s">
        <v>27</v>
      </c>
      <c r="H508" t="s">
        <v>765</v>
      </c>
      <c r="I508" t="s">
        <v>69</v>
      </c>
      <c r="J508" t="s">
        <v>69</v>
      </c>
      <c r="K508" t="s">
        <v>51</v>
      </c>
      <c r="L508" s="4">
        <v>46105</v>
      </c>
      <c r="M508" s="4">
        <v>46109</v>
      </c>
      <c r="N508" s="4">
        <v>46101</v>
      </c>
      <c r="O508" t="s">
        <v>32</v>
      </c>
      <c r="P508" s="5">
        <v>1</v>
      </c>
      <c r="Q508" s="6">
        <v>26600</v>
      </c>
      <c r="R508" s="6">
        <v>29336.41</v>
      </c>
      <c r="S508">
        <v>3</v>
      </c>
      <c r="T508">
        <f t="shared" si="14"/>
        <v>0</v>
      </c>
      <c r="U508">
        <f>IF(COUNTIFS($B$2:B508,B508,$F$2:F508,F508)=1,1,0)</f>
        <v>0</v>
      </c>
      <c r="V508" s="13">
        <f t="shared" si="15"/>
        <v>-2736.41</v>
      </c>
    </row>
    <row r="509" spans="1:22">
      <c r="A509" t="s">
        <v>784</v>
      </c>
      <c r="B509" t="s">
        <v>154</v>
      </c>
      <c r="C509" t="s">
        <v>155</v>
      </c>
      <c r="D509" t="s">
        <v>82</v>
      </c>
      <c r="E509" t="s">
        <v>83</v>
      </c>
      <c r="F509" t="s">
        <v>58</v>
      </c>
      <c r="G509" t="s">
        <v>39</v>
      </c>
      <c r="H509" t="s">
        <v>749</v>
      </c>
      <c r="I509" t="s">
        <v>69</v>
      </c>
      <c r="J509" t="s">
        <v>30</v>
      </c>
      <c r="K509" t="s">
        <v>41</v>
      </c>
      <c r="L509" s="4">
        <v>46101</v>
      </c>
      <c r="M509" s="4">
        <v>46131</v>
      </c>
      <c r="N509" s="4"/>
      <c r="O509" t="s">
        <v>42</v>
      </c>
      <c r="P509" s="5">
        <v>0</v>
      </c>
      <c r="Q509" s="6">
        <v>35000</v>
      </c>
      <c r="R509" s="6">
        <v>0</v>
      </c>
      <c r="S509">
        <v>0</v>
      </c>
      <c r="T509" t="str">
        <f t="shared" si="14"/>
        <v/>
      </c>
      <c r="U509">
        <f>IF(COUNTIFS($B$2:B509,B509,$F$2:F509,F509)=1,1,0)</f>
        <v>0</v>
      </c>
      <c r="V509" s="13">
        <f t="shared" si="15"/>
        <v>35000</v>
      </c>
    </row>
    <row r="510" spans="1:22">
      <c r="A510" t="s">
        <v>785</v>
      </c>
      <c r="B510" t="s">
        <v>157</v>
      </c>
      <c r="C510" t="s">
        <v>158</v>
      </c>
      <c r="D510" t="s">
        <v>24</v>
      </c>
      <c r="E510" t="s">
        <v>25</v>
      </c>
      <c r="F510" t="s">
        <v>66</v>
      </c>
      <c r="G510" t="s">
        <v>49</v>
      </c>
      <c r="H510" t="s">
        <v>751</v>
      </c>
      <c r="I510" t="s">
        <v>86</v>
      </c>
      <c r="J510" t="s">
        <v>29</v>
      </c>
      <c r="K510" t="s">
        <v>51</v>
      </c>
      <c r="L510" s="4">
        <v>46035</v>
      </c>
      <c r="M510" s="4">
        <v>46047</v>
      </c>
      <c r="N510" s="4">
        <v>46045</v>
      </c>
      <c r="O510" t="s">
        <v>32</v>
      </c>
      <c r="P510" s="5">
        <v>1</v>
      </c>
      <c r="Q510" s="6">
        <v>15700</v>
      </c>
      <c r="R510" s="6">
        <v>18034.05</v>
      </c>
      <c r="S510">
        <v>1</v>
      </c>
      <c r="T510">
        <f t="shared" si="14"/>
        <v>0</v>
      </c>
      <c r="U510">
        <f>IF(COUNTIFS($B$2:B510,B510,$F$2:F510,F510)=1,1,0)</f>
        <v>0</v>
      </c>
      <c r="V510" s="13">
        <f t="shared" si="15"/>
        <v>-2334.0499999999993</v>
      </c>
    </row>
    <row r="511" spans="1:22">
      <c r="A511" t="s">
        <v>786</v>
      </c>
      <c r="B511" t="s">
        <v>160</v>
      </c>
      <c r="C511" t="s">
        <v>161</v>
      </c>
      <c r="D511" t="s">
        <v>36</v>
      </c>
      <c r="E511" t="s">
        <v>37</v>
      </c>
      <c r="F511" t="s">
        <v>75</v>
      </c>
      <c r="G511" t="s">
        <v>67</v>
      </c>
      <c r="H511" t="s">
        <v>755</v>
      </c>
      <c r="I511" t="s">
        <v>69</v>
      </c>
      <c r="J511" t="s">
        <v>69</v>
      </c>
      <c r="K511" t="s">
        <v>178</v>
      </c>
      <c r="L511" s="4">
        <v>46089</v>
      </c>
      <c r="M511" s="4">
        <v>46108</v>
      </c>
      <c r="N511" s="4"/>
      <c r="O511" t="s">
        <v>42</v>
      </c>
      <c r="P511" s="5">
        <v>0</v>
      </c>
      <c r="Q511" s="6">
        <v>20300</v>
      </c>
      <c r="R511" s="6">
        <v>0</v>
      </c>
      <c r="S511">
        <v>3</v>
      </c>
      <c r="T511" t="str">
        <f t="shared" si="14"/>
        <v/>
      </c>
      <c r="U511">
        <f>IF(COUNTIFS($B$2:B511,B511,$F$2:F511,F511)=1,1,0)</f>
        <v>0</v>
      </c>
      <c r="V511" s="13">
        <f t="shared" si="15"/>
        <v>20300</v>
      </c>
    </row>
    <row r="512" spans="1:22">
      <c r="A512" t="s">
        <v>787</v>
      </c>
      <c r="B512" t="s">
        <v>22</v>
      </c>
      <c r="C512" t="s">
        <v>23</v>
      </c>
      <c r="D512" t="s">
        <v>24</v>
      </c>
      <c r="E512" t="s">
        <v>25</v>
      </c>
      <c r="F512" t="s">
        <v>26</v>
      </c>
      <c r="G512" t="s">
        <v>76</v>
      </c>
      <c r="H512" t="s">
        <v>788</v>
      </c>
      <c r="I512" t="s">
        <v>29</v>
      </c>
      <c r="J512" t="s">
        <v>30</v>
      </c>
      <c r="K512" t="s">
        <v>78</v>
      </c>
      <c r="L512" s="4">
        <v>46130</v>
      </c>
      <c r="M512" s="4">
        <v>46145</v>
      </c>
      <c r="N512" s="4"/>
      <c r="O512" t="s">
        <v>32</v>
      </c>
      <c r="P512" s="5">
        <v>0.6</v>
      </c>
      <c r="Q512" s="6">
        <v>23300</v>
      </c>
      <c r="R512" s="6">
        <v>22353.03</v>
      </c>
      <c r="S512">
        <v>1</v>
      </c>
      <c r="T512" t="str">
        <f t="shared" si="14"/>
        <v/>
      </c>
      <c r="U512">
        <f>IF(COUNTIFS($B$2:B512,B512,$F$2:F512,F512)=1,1,0)</f>
        <v>0</v>
      </c>
      <c r="V512" s="13">
        <f t="shared" si="15"/>
        <v>946.97000000000116</v>
      </c>
    </row>
    <row r="513" spans="1:22">
      <c r="A513" t="s">
        <v>789</v>
      </c>
      <c r="B513" t="s">
        <v>34</v>
      </c>
      <c r="C513" t="s">
        <v>35</v>
      </c>
      <c r="D513" t="s">
        <v>36</v>
      </c>
      <c r="E513" t="s">
        <v>37</v>
      </c>
      <c r="F513" t="s">
        <v>38</v>
      </c>
      <c r="G513" t="s">
        <v>84</v>
      </c>
      <c r="H513" t="s">
        <v>790</v>
      </c>
      <c r="I513" t="s">
        <v>29</v>
      </c>
      <c r="J513" t="s">
        <v>29</v>
      </c>
      <c r="K513" t="s">
        <v>143</v>
      </c>
      <c r="L513" s="4">
        <v>45866</v>
      </c>
      <c r="M513" s="4">
        <v>45875</v>
      </c>
      <c r="N513" s="4">
        <v>45873</v>
      </c>
      <c r="O513" t="s">
        <v>32</v>
      </c>
      <c r="P513" s="5">
        <v>1</v>
      </c>
      <c r="Q513" s="6">
        <v>44900</v>
      </c>
      <c r="R513" s="6">
        <v>42161.23</v>
      </c>
      <c r="S513">
        <v>2</v>
      </c>
      <c r="T513">
        <f t="shared" si="14"/>
        <v>0</v>
      </c>
      <c r="U513">
        <f>IF(COUNTIFS($B$2:B513,B513,$F$2:F513,F513)=1,1,0)</f>
        <v>0</v>
      </c>
      <c r="V513" s="13">
        <f t="shared" si="15"/>
        <v>2738.7699999999968</v>
      </c>
    </row>
    <row r="514" spans="1:22">
      <c r="A514" t="s">
        <v>791</v>
      </c>
      <c r="B514" t="s">
        <v>44</v>
      </c>
      <c r="C514" t="s">
        <v>45</v>
      </c>
      <c r="D514" t="s">
        <v>46</v>
      </c>
      <c r="E514" t="s">
        <v>47</v>
      </c>
      <c r="F514" t="s">
        <v>48</v>
      </c>
      <c r="G514" t="s">
        <v>90</v>
      </c>
      <c r="H514" t="s">
        <v>792</v>
      </c>
      <c r="I514" t="s">
        <v>29</v>
      </c>
      <c r="J514" t="s">
        <v>30</v>
      </c>
      <c r="K514" t="s">
        <v>78</v>
      </c>
      <c r="L514" s="4">
        <v>45822</v>
      </c>
      <c r="M514" s="4">
        <v>45827</v>
      </c>
      <c r="N514" s="4"/>
      <c r="O514" t="s">
        <v>32</v>
      </c>
      <c r="P514" s="5">
        <v>0</v>
      </c>
      <c r="Q514" s="6">
        <v>19500</v>
      </c>
      <c r="R514" s="6">
        <v>0</v>
      </c>
      <c r="S514">
        <v>2</v>
      </c>
      <c r="T514" t="str">
        <f t="shared" ref="T514:T577" si="16">IF(N514="","",MAX(0,N514-M514))</f>
        <v/>
      </c>
      <c r="U514">
        <f>IF(COUNTIFS($B$2:B514,B514,$F$2:F514,F514)=1,1,0)</f>
        <v>0</v>
      </c>
      <c r="V514" s="13">
        <f t="shared" ref="V514:V577" si="17">Q514-R514</f>
        <v>19500</v>
      </c>
    </row>
    <row r="515" spans="1:22">
      <c r="A515" t="s">
        <v>793</v>
      </c>
      <c r="B515" t="s">
        <v>54</v>
      </c>
      <c r="C515" t="s">
        <v>55</v>
      </c>
      <c r="D515" t="s">
        <v>56</v>
      </c>
      <c r="E515" t="s">
        <v>57</v>
      </c>
      <c r="F515" t="s">
        <v>58</v>
      </c>
      <c r="G515" t="s">
        <v>95</v>
      </c>
      <c r="H515" t="s">
        <v>794</v>
      </c>
      <c r="I515" t="s">
        <v>29</v>
      </c>
      <c r="J515" t="s">
        <v>29</v>
      </c>
      <c r="K515" t="s">
        <v>78</v>
      </c>
      <c r="L515" s="4">
        <v>46085</v>
      </c>
      <c r="M515" s="4">
        <v>46099</v>
      </c>
      <c r="N515" s="4">
        <v>46109</v>
      </c>
      <c r="O515" t="s">
        <v>32</v>
      </c>
      <c r="P515" s="5">
        <v>1</v>
      </c>
      <c r="Q515" s="6">
        <v>7800</v>
      </c>
      <c r="R515" s="6">
        <v>7898.71</v>
      </c>
      <c r="S515">
        <v>4</v>
      </c>
      <c r="T515">
        <f t="shared" si="16"/>
        <v>10</v>
      </c>
      <c r="U515">
        <f>IF(COUNTIFS($B$2:B515,B515,$F$2:F515,F515)=1,1,0)</f>
        <v>0</v>
      </c>
      <c r="V515" s="13">
        <f t="shared" si="17"/>
        <v>-98.710000000000036</v>
      </c>
    </row>
    <row r="516" spans="1:22">
      <c r="A516" t="s">
        <v>795</v>
      </c>
      <c r="B516" t="s">
        <v>62</v>
      </c>
      <c r="C516" t="s">
        <v>63</v>
      </c>
      <c r="D516" t="s">
        <v>64</v>
      </c>
      <c r="E516" t="s">
        <v>65</v>
      </c>
      <c r="F516" t="s">
        <v>66</v>
      </c>
      <c r="G516" t="s">
        <v>27</v>
      </c>
      <c r="H516" t="s">
        <v>796</v>
      </c>
      <c r="I516" t="s">
        <v>29</v>
      </c>
      <c r="J516" t="s">
        <v>30</v>
      </c>
      <c r="K516" t="s">
        <v>78</v>
      </c>
      <c r="L516" s="4">
        <v>45824</v>
      </c>
      <c r="M516" s="4">
        <v>45830</v>
      </c>
      <c r="N516" s="4">
        <v>45836</v>
      </c>
      <c r="O516" t="s">
        <v>32</v>
      </c>
      <c r="P516" s="5">
        <v>1</v>
      </c>
      <c r="Q516" s="6">
        <v>12100</v>
      </c>
      <c r="R516" s="6">
        <v>11796.76</v>
      </c>
      <c r="S516">
        <v>1</v>
      </c>
      <c r="T516">
        <f t="shared" si="16"/>
        <v>6</v>
      </c>
      <c r="U516">
        <f>IF(COUNTIFS($B$2:B516,B516,$F$2:F516,F516)=1,1,0)</f>
        <v>0</v>
      </c>
      <c r="V516" s="13">
        <f t="shared" si="17"/>
        <v>303.23999999999978</v>
      </c>
    </row>
    <row r="517" spans="1:22">
      <c r="A517" t="s">
        <v>797</v>
      </c>
      <c r="B517" t="s">
        <v>71</v>
      </c>
      <c r="C517" t="s">
        <v>72</v>
      </c>
      <c r="D517" t="s">
        <v>73</v>
      </c>
      <c r="E517" t="s">
        <v>74</v>
      </c>
      <c r="F517" t="s">
        <v>75</v>
      </c>
      <c r="G517" t="s">
        <v>39</v>
      </c>
      <c r="H517" t="s">
        <v>798</v>
      </c>
      <c r="I517" t="s">
        <v>69</v>
      </c>
      <c r="J517" t="s">
        <v>30</v>
      </c>
      <c r="K517" t="s">
        <v>31</v>
      </c>
      <c r="L517" s="4">
        <v>45816</v>
      </c>
      <c r="M517" s="4">
        <v>45828</v>
      </c>
      <c r="N517" s="4"/>
      <c r="O517" t="s">
        <v>32</v>
      </c>
      <c r="P517" s="5">
        <v>0.25</v>
      </c>
      <c r="Q517" s="6">
        <v>15900</v>
      </c>
      <c r="R517" s="6">
        <v>16142.31</v>
      </c>
      <c r="S517">
        <v>0</v>
      </c>
      <c r="T517" t="str">
        <f t="shared" si="16"/>
        <v/>
      </c>
      <c r="U517">
        <f>IF(COUNTIFS($B$2:B517,B517,$F$2:F517,F517)=1,1,0)</f>
        <v>0</v>
      </c>
      <c r="V517" s="13">
        <f t="shared" si="17"/>
        <v>-242.30999999999949</v>
      </c>
    </row>
    <row r="518" spans="1:22">
      <c r="A518" t="s">
        <v>799</v>
      </c>
      <c r="B518" t="s">
        <v>80</v>
      </c>
      <c r="C518" t="s">
        <v>81</v>
      </c>
      <c r="D518" t="s">
        <v>82</v>
      </c>
      <c r="E518" t="s">
        <v>83</v>
      </c>
      <c r="F518" t="s">
        <v>26</v>
      </c>
      <c r="G518" t="s">
        <v>49</v>
      </c>
      <c r="H518" t="s">
        <v>800</v>
      </c>
      <c r="I518" t="s">
        <v>29</v>
      </c>
      <c r="J518" t="s">
        <v>29</v>
      </c>
      <c r="K518" t="s">
        <v>143</v>
      </c>
      <c r="L518" s="4">
        <v>45813</v>
      </c>
      <c r="M518" s="4">
        <v>45838</v>
      </c>
      <c r="N518" s="4">
        <v>45849</v>
      </c>
      <c r="O518" t="s">
        <v>32</v>
      </c>
      <c r="P518" s="5">
        <v>1</v>
      </c>
      <c r="Q518" s="6">
        <v>30400</v>
      </c>
      <c r="R518" s="6">
        <v>31517.88</v>
      </c>
      <c r="S518">
        <v>2</v>
      </c>
      <c r="T518">
        <f t="shared" si="16"/>
        <v>11</v>
      </c>
      <c r="U518">
        <f>IF(COUNTIFS($B$2:B518,B518,$F$2:F518,F518)=1,1,0)</f>
        <v>0</v>
      </c>
      <c r="V518" s="13">
        <f t="shared" si="17"/>
        <v>-1117.880000000001</v>
      </c>
    </row>
    <row r="519" spans="1:22">
      <c r="A519" t="s">
        <v>801</v>
      </c>
      <c r="B519" t="s">
        <v>88</v>
      </c>
      <c r="C519" t="s">
        <v>89</v>
      </c>
      <c r="D519" t="s">
        <v>24</v>
      </c>
      <c r="E519" t="s">
        <v>25</v>
      </c>
      <c r="F519" t="s">
        <v>38</v>
      </c>
      <c r="G519" t="s">
        <v>59</v>
      </c>
      <c r="H519" t="s">
        <v>802</v>
      </c>
      <c r="I519" t="s">
        <v>29</v>
      </c>
      <c r="J519" t="s">
        <v>29</v>
      </c>
      <c r="K519" t="s">
        <v>51</v>
      </c>
      <c r="L519" s="4">
        <v>45747</v>
      </c>
      <c r="M519" s="4">
        <v>45764</v>
      </c>
      <c r="N519" s="4">
        <v>45767</v>
      </c>
      <c r="O519" t="s">
        <v>32</v>
      </c>
      <c r="P519" s="5">
        <v>1</v>
      </c>
      <c r="Q519" s="6">
        <v>1900</v>
      </c>
      <c r="R519" s="6">
        <v>1810.78</v>
      </c>
      <c r="S519">
        <v>2</v>
      </c>
      <c r="T519">
        <f t="shared" si="16"/>
        <v>3</v>
      </c>
      <c r="U519">
        <f>IF(COUNTIFS($B$2:B519,B519,$F$2:F519,F519)=1,1,0)</f>
        <v>0</v>
      </c>
      <c r="V519" s="13">
        <f t="shared" si="17"/>
        <v>89.220000000000027</v>
      </c>
    </row>
    <row r="520" spans="1:22">
      <c r="A520" t="s">
        <v>803</v>
      </c>
      <c r="B520" t="s">
        <v>93</v>
      </c>
      <c r="C520" t="s">
        <v>94</v>
      </c>
      <c r="D520" t="s">
        <v>36</v>
      </c>
      <c r="E520" t="s">
        <v>37</v>
      </c>
      <c r="F520" t="s">
        <v>48</v>
      </c>
      <c r="G520" t="s">
        <v>67</v>
      </c>
      <c r="H520" t="s">
        <v>804</v>
      </c>
      <c r="I520" t="s">
        <v>69</v>
      </c>
      <c r="J520" t="s">
        <v>29</v>
      </c>
      <c r="K520" t="s">
        <v>41</v>
      </c>
      <c r="L520" s="4">
        <v>46044</v>
      </c>
      <c r="M520" s="4">
        <v>46056</v>
      </c>
      <c r="N520" s="4">
        <v>46055</v>
      </c>
      <c r="O520" t="s">
        <v>32</v>
      </c>
      <c r="P520" s="5">
        <v>1</v>
      </c>
      <c r="Q520" s="6">
        <v>18100</v>
      </c>
      <c r="R520" s="6">
        <v>17297.189999999999</v>
      </c>
      <c r="S520">
        <v>2</v>
      </c>
      <c r="T520">
        <f t="shared" si="16"/>
        <v>0</v>
      </c>
      <c r="U520">
        <f>IF(COUNTIFS($B$2:B520,B520,$F$2:F520,F520)=1,1,0)</f>
        <v>0</v>
      </c>
      <c r="V520" s="13">
        <f t="shared" si="17"/>
        <v>802.81000000000131</v>
      </c>
    </row>
    <row r="521" spans="1:22">
      <c r="A521" t="s">
        <v>805</v>
      </c>
      <c r="B521" t="s">
        <v>98</v>
      </c>
      <c r="C521" t="s">
        <v>99</v>
      </c>
      <c r="D521" t="s">
        <v>46</v>
      </c>
      <c r="E521" t="s">
        <v>47</v>
      </c>
      <c r="F521" t="s">
        <v>58</v>
      </c>
      <c r="G521" t="s">
        <v>76</v>
      </c>
      <c r="H521" t="s">
        <v>788</v>
      </c>
      <c r="I521" t="s">
        <v>29</v>
      </c>
      <c r="J521" t="s">
        <v>69</v>
      </c>
      <c r="K521" t="s">
        <v>143</v>
      </c>
      <c r="L521" s="4">
        <v>45762</v>
      </c>
      <c r="M521" s="4">
        <v>45771</v>
      </c>
      <c r="N521" s="4">
        <v>45773</v>
      </c>
      <c r="O521" t="s">
        <v>32</v>
      </c>
      <c r="P521" s="5">
        <v>1</v>
      </c>
      <c r="Q521" s="6">
        <v>21400</v>
      </c>
      <c r="R521" s="6">
        <v>23337.05</v>
      </c>
      <c r="S521">
        <v>3</v>
      </c>
      <c r="T521">
        <f t="shared" si="16"/>
        <v>2</v>
      </c>
      <c r="U521">
        <f>IF(COUNTIFS($B$2:B521,B521,$F$2:F521,F521)=1,1,0)</f>
        <v>0</v>
      </c>
      <c r="V521" s="13">
        <f t="shared" si="17"/>
        <v>-1937.0499999999993</v>
      </c>
    </row>
    <row r="522" spans="1:22">
      <c r="A522" t="s">
        <v>806</v>
      </c>
      <c r="B522" t="s">
        <v>101</v>
      </c>
      <c r="C522" t="s">
        <v>102</v>
      </c>
      <c r="D522" t="s">
        <v>56</v>
      </c>
      <c r="E522" t="s">
        <v>57</v>
      </c>
      <c r="F522" t="s">
        <v>66</v>
      </c>
      <c r="G522" t="s">
        <v>84</v>
      </c>
      <c r="H522" t="s">
        <v>790</v>
      </c>
      <c r="I522" t="s">
        <v>29</v>
      </c>
      <c r="J522" t="s">
        <v>29</v>
      </c>
      <c r="K522" t="s">
        <v>31</v>
      </c>
      <c r="L522" s="4">
        <v>46109</v>
      </c>
      <c r="M522" s="4">
        <v>46135</v>
      </c>
      <c r="N522" s="4"/>
      <c r="O522" t="s">
        <v>42</v>
      </c>
      <c r="P522" s="5">
        <v>0</v>
      </c>
      <c r="Q522" s="6">
        <v>16600</v>
      </c>
      <c r="R522" s="6">
        <v>0</v>
      </c>
      <c r="S522">
        <v>3</v>
      </c>
      <c r="T522" t="str">
        <f t="shared" si="16"/>
        <v/>
      </c>
      <c r="U522">
        <f>IF(COUNTIFS($B$2:B522,B522,$F$2:F522,F522)=1,1,0)</f>
        <v>0</v>
      </c>
      <c r="V522" s="13">
        <f t="shared" si="17"/>
        <v>16600</v>
      </c>
    </row>
    <row r="523" spans="1:22">
      <c r="A523" t="s">
        <v>807</v>
      </c>
      <c r="B523" t="s">
        <v>104</v>
      </c>
      <c r="C523" t="s">
        <v>105</v>
      </c>
      <c r="D523" t="s">
        <v>64</v>
      </c>
      <c r="E523" t="s">
        <v>65</v>
      </c>
      <c r="F523" t="s">
        <v>75</v>
      </c>
      <c r="G523" t="s">
        <v>90</v>
      </c>
      <c r="H523" t="s">
        <v>792</v>
      </c>
      <c r="I523" t="s">
        <v>29</v>
      </c>
      <c r="J523" t="s">
        <v>69</v>
      </c>
      <c r="K523" t="s">
        <v>143</v>
      </c>
      <c r="L523" s="4">
        <v>46057</v>
      </c>
      <c r="M523" s="4">
        <v>46080</v>
      </c>
      <c r="N523" s="4"/>
      <c r="O523" t="s">
        <v>52</v>
      </c>
      <c r="P523" s="5">
        <v>0.6</v>
      </c>
      <c r="Q523" s="6">
        <v>40200</v>
      </c>
      <c r="R523" s="6">
        <v>43442.64</v>
      </c>
      <c r="S523">
        <v>3</v>
      </c>
      <c r="T523" t="str">
        <f t="shared" si="16"/>
        <v/>
      </c>
      <c r="U523">
        <f>IF(COUNTIFS($B$2:B523,B523,$F$2:F523,F523)=1,1,0)</f>
        <v>0</v>
      </c>
      <c r="V523" s="13">
        <f t="shared" si="17"/>
        <v>-3242.6399999999994</v>
      </c>
    </row>
    <row r="524" spans="1:22">
      <c r="A524" t="s">
        <v>808</v>
      </c>
      <c r="B524" t="s">
        <v>107</v>
      </c>
      <c r="C524" t="s">
        <v>108</v>
      </c>
      <c r="D524" t="s">
        <v>73</v>
      </c>
      <c r="E524" t="s">
        <v>74</v>
      </c>
      <c r="F524" t="s">
        <v>26</v>
      </c>
      <c r="G524" t="s">
        <v>95</v>
      </c>
      <c r="H524" t="s">
        <v>794</v>
      </c>
      <c r="I524" t="s">
        <v>29</v>
      </c>
      <c r="J524" t="s">
        <v>30</v>
      </c>
      <c r="K524" t="s">
        <v>31</v>
      </c>
      <c r="L524" s="4">
        <v>46042</v>
      </c>
      <c r="M524" s="4">
        <v>46066</v>
      </c>
      <c r="N524" s="4"/>
      <c r="O524" t="s">
        <v>42</v>
      </c>
      <c r="P524" s="5">
        <v>0</v>
      </c>
      <c r="Q524" s="6">
        <v>33300</v>
      </c>
      <c r="R524" s="6">
        <v>0</v>
      </c>
      <c r="S524">
        <v>1</v>
      </c>
      <c r="T524" t="str">
        <f t="shared" si="16"/>
        <v/>
      </c>
      <c r="U524">
        <f>IF(COUNTIFS($B$2:B524,B524,$F$2:F524,F524)=1,1,0)</f>
        <v>0</v>
      </c>
      <c r="V524" s="13">
        <f t="shared" si="17"/>
        <v>33300</v>
      </c>
    </row>
    <row r="525" spans="1:22">
      <c r="A525" t="s">
        <v>809</v>
      </c>
      <c r="B525" t="s">
        <v>111</v>
      </c>
      <c r="C525" t="s">
        <v>112</v>
      </c>
      <c r="D525" t="s">
        <v>82</v>
      </c>
      <c r="E525" t="s">
        <v>83</v>
      </c>
      <c r="F525" t="s">
        <v>38</v>
      </c>
      <c r="G525" t="s">
        <v>27</v>
      </c>
      <c r="H525" t="s">
        <v>796</v>
      </c>
      <c r="I525" t="s">
        <v>69</v>
      </c>
      <c r="J525" t="s">
        <v>29</v>
      </c>
      <c r="K525" t="s">
        <v>31</v>
      </c>
      <c r="L525" s="4">
        <v>45853</v>
      </c>
      <c r="M525" s="4">
        <v>45860</v>
      </c>
      <c r="N525" s="4"/>
      <c r="O525" t="s">
        <v>52</v>
      </c>
      <c r="P525" s="5">
        <v>0.5</v>
      </c>
      <c r="Q525" s="6">
        <v>41100</v>
      </c>
      <c r="R525" s="6">
        <v>39221.519999999997</v>
      </c>
      <c r="S525">
        <v>3</v>
      </c>
      <c r="T525" t="str">
        <f t="shared" si="16"/>
        <v/>
      </c>
      <c r="U525">
        <f>IF(COUNTIFS($B$2:B525,B525,$F$2:F525,F525)=1,1,0)</f>
        <v>0</v>
      </c>
      <c r="V525" s="13">
        <f t="shared" si="17"/>
        <v>1878.4800000000032</v>
      </c>
    </row>
    <row r="526" spans="1:22">
      <c r="A526" t="s">
        <v>810</v>
      </c>
      <c r="B526" t="s">
        <v>114</v>
      </c>
      <c r="C526" t="s">
        <v>115</v>
      </c>
      <c r="D526" t="s">
        <v>24</v>
      </c>
      <c r="E526" t="s">
        <v>25</v>
      </c>
      <c r="F526" t="s">
        <v>48</v>
      </c>
      <c r="G526" t="s">
        <v>39</v>
      </c>
      <c r="H526" t="s">
        <v>798</v>
      </c>
      <c r="I526" t="s">
        <v>29</v>
      </c>
      <c r="J526" t="s">
        <v>30</v>
      </c>
      <c r="K526" t="s">
        <v>143</v>
      </c>
      <c r="L526" s="4">
        <v>46016</v>
      </c>
      <c r="M526" s="4">
        <v>46046</v>
      </c>
      <c r="N526" s="4"/>
      <c r="O526" t="s">
        <v>42</v>
      </c>
      <c r="P526" s="5">
        <v>0</v>
      </c>
      <c r="Q526" s="6">
        <v>31500</v>
      </c>
      <c r="R526" s="6">
        <v>0</v>
      </c>
      <c r="S526">
        <v>0</v>
      </c>
      <c r="T526" t="str">
        <f t="shared" si="16"/>
        <v/>
      </c>
      <c r="U526">
        <f>IF(COUNTIFS($B$2:B526,B526,$F$2:F526,F526)=1,1,0)</f>
        <v>0</v>
      </c>
      <c r="V526" s="13">
        <f t="shared" si="17"/>
        <v>31500</v>
      </c>
    </row>
    <row r="527" spans="1:22">
      <c r="A527" t="s">
        <v>811</v>
      </c>
      <c r="B527" t="s">
        <v>117</v>
      </c>
      <c r="C527" t="s">
        <v>118</v>
      </c>
      <c r="D527" t="s">
        <v>36</v>
      </c>
      <c r="E527" t="s">
        <v>37</v>
      </c>
      <c r="F527" t="s">
        <v>58</v>
      </c>
      <c r="G527" t="s">
        <v>49</v>
      </c>
      <c r="H527" t="s">
        <v>800</v>
      </c>
      <c r="I527" t="s">
        <v>29</v>
      </c>
      <c r="J527" t="s">
        <v>69</v>
      </c>
      <c r="K527" t="s">
        <v>78</v>
      </c>
      <c r="L527" s="4">
        <v>46023</v>
      </c>
      <c r="M527" s="4">
        <v>46031</v>
      </c>
      <c r="N527" s="4"/>
      <c r="O527" t="s">
        <v>52</v>
      </c>
      <c r="P527" s="5">
        <v>0.75</v>
      </c>
      <c r="Q527" s="6">
        <v>24700</v>
      </c>
      <c r="R527" s="6">
        <v>26098.21</v>
      </c>
      <c r="S527">
        <v>2</v>
      </c>
      <c r="T527" t="str">
        <f t="shared" si="16"/>
        <v/>
      </c>
      <c r="U527">
        <f>IF(COUNTIFS($B$2:B527,B527,$F$2:F527,F527)=1,1,0)</f>
        <v>0</v>
      </c>
      <c r="V527" s="13">
        <f t="shared" si="17"/>
        <v>-1398.2099999999991</v>
      </c>
    </row>
    <row r="528" spans="1:22">
      <c r="A528" t="s">
        <v>812</v>
      </c>
      <c r="B528" t="s">
        <v>120</v>
      </c>
      <c r="C528" t="s">
        <v>121</v>
      </c>
      <c r="D528" t="s">
        <v>46</v>
      </c>
      <c r="E528" t="s">
        <v>47</v>
      </c>
      <c r="F528" t="s">
        <v>66</v>
      </c>
      <c r="G528" t="s">
        <v>59</v>
      </c>
      <c r="H528" t="s">
        <v>802</v>
      </c>
      <c r="I528" t="s">
        <v>69</v>
      </c>
      <c r="J528" t="s">
        <v>30</v>
      </c>
      <c r="K528" t="s">
        <v>31</v>
      </c>
      <c r="L528" s="4">
        <v>45760</v>
      </c>
      <c r="M528" s="4">
        <v>45776</v>
      </c>
      <c r="N528" s="4"/>
      <c r="O528" t="s">
        <v>109</v>
      </c>
      <c r="P528" s="5">
        <v>0.3</v>
      </c>
      <c r="Q528" s="6">
        <v>20800</v>
      </c>
      <c r="R528" s="6">
        <v>25650.95</v>
      </c>
      <c r="S528">
        <v>0</v>
      </c>
      <c r="T528" t="str">
        <f t="shared" si="16"/>
        <v/>
      </c>
      <c r="U528">
        <f>IF(COUNTIFS($B$2:B528,B528,$F$2:F528,F528)=1,1,0)</f>
        <v>0</v>
      </c>
      <c r="V528" s="13">
        <f t="shared" si="17"/>
        <v>-4850.9500000000007</v>
      </c>
    </row>
    <row r="529" spans="1:22">
      <c r="A529" t="s">
        <v>813</v>
      </c>
      <c r="B529" t="s">
        <v>123</v>
      </c>
      <c r="C529" t="s">
        <v>124</v>
      </c>
      <c r="D529" t="s">
        <v>56</v>
      </c>
      <c r="E529" t="s">
        <v>57</v>
      </c>
      <c r="F529" t="s">
        <v>75</v>
      </c>
      <c r="G529" t="s">
        <v>67</v>
      </c>
      <c r="H529" t="s">
        <v>804</v>
      </c>
      <c r="I529" t="s">
        <v>86</v>
      </c>
      <c r="J529" t="s">
        <v>30</v>
      </c>
      <c r="K529" t="s">
        <v>78</v>
      </c>
      <c r="L529" s="4">
        <v>45705</v>
      </c>
      <c r="M529" s="4">
        <v>45712</v>
      </c>
      <c r="N529" s="4"/>
      <c r="O529" t="s">
        <v>52</v>
      </c>
      <c r="P529" s="5">
        <v>0.9</v>
      </c>
      <c r="Q529" s="6">
        <v>44400</v>
      </c>
      <c r="R529" s="6">
        <v>40344.769999999997</v>
      </c>
      <c r="S529">
        <v>0</v>
      </c>
      <c r="T529" t="str">
        <f t="shared" si="16"/>
        <v/>
      </c>
      <c r="U529">
        <f>IF(COUNTIFS($B$2:B529,B529,$F$2:F529,F529)=1,1,0)</f>
        <v>0</v>
      </c>
      <c r="V529" s="13">
        <f t="shared" si="17"/>
        <v>4055.2300000000032</v>
      </c>
    </row>
    <row r="530" spans="1:22">
      <c r="A530" t="s">
        <v>814</v>
      </c>
      <c r="B530" t="s">
        <v>126</v>
      </c>
      <c r="C530" t="s">
        <v>127</v>
      </c>
      <c r="D530" t="s">
        <v>64</v>
      </c>
      <c r="E530" t="s">
        <v>65</v>
      </c>
      <c r="F530" t="s">
        <v>26</v>
      </c>
      <c r="G530" t="s">
        <v>76</v>
      </c>
      <c r="H530" t="s">
        <v>788</v>
      </c>
      <c r="I530" t="s">
        <v>69</v>
      </c>
      <c r="J530" t="s">
        <v>29</v>
      </c>
      <c r="K530" t="s">
        <v>31</v>
      </c>
      <c r="L530" s="4">
        <v>45716</v>
      </c>
      <c r="M530" s="4">
        <v>45730</v>
      </c>
      <c r="N530" s="4"/>
      <c r="O530" t="s">
        <v>42</v>
      </c>
      <c r="P530" s="5">
        <v>0</v>
      </c>
      <c r="Q530" s="6">
        <v>35400</v>
      </c>
      <c r="R530" s="6">
        <v>0</v>
      </c>
      <c r="S530">
        <v>4</v>
      </c>
      <c r="T530" t="str">
        <f t="shared" si="16"/>
        <v/>
      </c>
      <c r="U530">
        <f>IF(COUNTIFS($B$2:B530,B530,$F$2:F530,F530)=1,1,0)</f>
        <v>0</v>
      </c>
      <c r="V530" s="13">
        <f t="shared" si="17"/>
        <v>35400</v>
      </c>
    </row>
    <row r="531" spans="1:22">
      <c r="A531" t="s">
        <v>815</v>
      </c>
      <c r="B531" t="s">
        <v>129</v>
      </c>
      <c r="C531" t="s">
        <v>130</v>
      </c>
      <c r="D531" t="s">
        <v>73</v>
      </c>
      <c r="E531" t="s">
        <v>74</v>
      </c>
      <c r="F531" t="s">
        <v>38</v>
      </c>
      <c r="G531" t="s">
        <v>84</v>
      </c>
      <c r="H531" t="s">
        <v>790</v>
      </c>
      <c r="I531" t="s">
        <v>29</v>
      </c>
      <c r="J531" t="s">
        <v>29</v>
      </c>
      <c r="K531" t="s">
        <v>31</v>
      </c>
      <c r="L531" s="4">
        <v>45873</v>
      </c>
      <c r="M531" s="4">
        <v>45891</v>
      </c>
      <c r="N531" s="4">
        <v>45896</v>
      </c>
      <c r="O531" t="s">
        <v>32</v>
      </c>
      <c r="P531" s="5">
        <v>1</v>
      </c>
      <c r="Q531" s="6">
        <v>19300</v>
      </c>
      <c r="R531" s="6">
        <v>20988.98</v>
      </c>
      <c r="S531">
        <v>5</v>
      </c>
      <c r="T531">
        <f t="shared" si="16"/>
        <v>5</v>
      </c>
      <c r="U531">
        <f>IF(COUNTIFS($B$2:B531,B531,$F$2:F531,F531)=1,1,0)</f>
        <v>0</v>
      </c>
      <c r="V531" s="13">
        <f t="shared" si="17"/>
        <v>-1688.9799999999996</v>
      </c>
    </row>
    <row r="532" spans="1:22">
      <c r="A532" t="s">
        <v>816</v>
      </c>
      <c r="B532" t="s">
        <v>132</v>
      </c>
      <c r="C532" t="s">
        <v>133</v>
      </c>
      <c r="D532" t="s">
        <v>82</v>
      </c>
      <c r="E532" t="s">
        <v>83</v>
      </c>
      <c r="F532" t="s">
        <v>48</v>
      </c>
      <c r="G532" t="s">
        <v>90</v>
      </c>
      <c r="H532" t="s">
        <v>792</v>
      </c>
      <c r="I532" t="s">
        <v>86</v>
      </c>
      <c r="J532" t="s">
        <v>30</v>
      </c>
      <c r="K532" t="s">
        <v>78</v>
      </c>
      <c r="L532" s="4">
        <v>45833</v>
      </c>
      <c r="M532" s="4">
        <v>45860</v>
      </c>
      <c r="N532" s="4"/>
      <c r="O532" t="s">
        <v>52</v>
      </c>
      <c r="P532" s="5">
        <v>0.4</v>
      </c>
      <c r="Q532" s="6">
        <v>41800</v>
      </c>
      <c r="R532" s="6">
        <v>40596.21</v>
      </c>
      <c r="S532">
        <v>4</v>
      </c>
      <c r="T532" t="str">
        <f t="shared" si="16"/>
        <v/>
      </c>
      <c r="U532">
        <f>IF(COUNTIFS($B$2:B532,B532,$F$2:F532,F532)=1,1,0)</f>
        <v>0</v>
      </c>
      <c r="V532" s="13">
        <f t="shared" si="17"/>
        <v>1203.7900000000009</v>
      </c>
    </row>
    <row r="533" spans="1:22">
      <c r="A533" t="s">
        <v>817</v>
      </c>
      <c r="B533" t="s">
        <v>135</v>
      </c>
      <c r="C533" t="s">
        <v>136</v>
      </c>
      <c r="D533" t="s">
        <v>24</v>
      </c>
      <c r="E533" t="s">
        <v>25</v>
      </c>
      <c r="F533" t="s">
        <v>58</v>
      </c>
      <c r="G533" t="s">
        <v>95</v>
      </c>
      <c r="H533" t="s">
        <v>794</v>
      </c>
      <c r="I533" t="s">
        <v>29</v>
      </c>
      <c r="J533" t="s">
        <v>30</v>
      </c>
      <c r="K533" t="s">
        <v>143</v>
      </c>
      <c r="L533" s="4">
        <v>45984</v>
      </c>
      <c r="M533" s="4">
        <v>46000</v>
      </c>
      <c r="N533" s="4"/>
      <c r="O533" t="s">
        <v>52</v>
      </c>
      <c r="P533" s="5">
        <v>0.25</v>
      </c>
      <c r="Q533" s="6">
        <v>27900</v>
      </c>
      <c r="R533" s="6">
        <v>27901.93</v>
      </c>
      <c r="S533">
        <v>2</v>
      </c>
      <c r="T533" t="str">
        <f t="shared" si="16"/>
        <v/>
      </c>
      <c r="U533">
        <f>IF(COUNTIFS($B$2:B533,B533,$F$2:F533,F533)=1,1,0)</f>
        <v>0</v>
      </c>
      <c r="V533" s="13">
        <f t="shared" si="17"/>
        <v>-1.930000000000291</v>
      </c>
    </row>
    <row r="534" spans="1:22">
      <c r="A534" t="s">
        <v>818</v>
      </c>
      <c r="B534" t="s">
        <v>138</v>
      </c>
      <c r="C534" t="s">
        <v>139</v>
      </c>
      <c r="D534" t="s">
        <v>36</v>
      </c>
      <c r="E534" t="s">
        <v>37</v>
      </c>
      <c r="F534" t="s">
        <v>66</v>
      </c>
      <c r="G534" t="s">
        <v>27</v>
      </c>
      <c r="H534" t="s">
        <v>796</v>
      </c>
      <c r="I534" t="s">
        <v>29</v>
      </c>
      <c r="J534" t="s">
        <v>69</v>
      </c>
      <c r="K534" t="s">
        <v>51</v>
      </c>
      <c r="L534" s="4">
        <v>46108</v>
      </c>
      <c r="M534" s="4">
        <v>46127</v>
      </c>
      <c r="N534" s="4">
        <v>46119</v>
      </c>
      <c r="O534" t="s">
        <v>32</v>
      </c>
      <c r="P534" s="5">
        <v>1</v>
      </c>
      <c r="Q534" s="6">
        <v>32100</v>
      </c>
      <c r="R534" s="6">
        <v>35996.54</v>
      </c>
      <c r="S534">
        <v>3</v>
      </c>
      <c r="T534">
        <f t="shared" si="16"/>
        <v>0</v>
      </c>
      <c r="U534">
        <f>IF(COUNTIFS($B$2:B534,B534,$F$2:F534,F534)=1,1,0)</f>
        <v>0</v>
      </c>
      <c r="V534" s="13">
        <f t="shared" si="17"/>
        <v>-3896.5400000000009</v>
      </c>
    </row>
    <row r="535" spans="1:22">
      <c r="A535" t="s">
        <v>819</v>
      </c>
      <c r="B535" t="s">
        <v>141</v>
      </c>
      <c r="C535" t="s">
        <v>142</v>
      </c>
      <c r="D535" t="s">
        <v>46</v>
      </c>
      <c r="E535" t="s">
        <v>47</v>
      </c>
      <c r="F535" t="s">
        <v>75</v>
      </c>
      <c r="G535" t="s">
        <v>39</v>
      </c>
      <c r="H535" t="s">
        <v>798</v>
      </c>
      <c r="I535" t="s">
        <v>29</v>
      </c>
      <c r="J535" t="s">
        <v>69</v>
      </c>
      <c r="K535" t="s">
        <v>41</v>
      </c>
      <c r="L535" s="4">
        <v>45738</v>
      </c>
      <c r="M535" s="4">
        <v>45757</v>
      </c>
      <c r="N535" s="4">
        <v>45761</v>
      </c>
      <c r="O535" t="s">
        <v>32</v>
      </c>
      <c r="P535" s="5">
        <v>1</v>
      </c>
      <c r="Q535" s="6">
        <v>18400</v>
      </c>
      <c r="R535" s="6">
        <v>19629.91</v>
      </c>
      <c r="S535">
        <v>3</v>
      </c>
      <c r="T535">
        <f t="shared" si="16"/>
        <v>4</v>
      </c>
      <c r="U535">
        <f>IF(COUNTIFS($B$2:B535,B535,$F$2:F535,F535)=1,1,0)</f>
        <v>0</v>
      </c>
      <c r="V535" s="13">
        <f t="shared" si="17"/>
        <v>-1229.9099999999999</v>
      </c>
    </row>
    <row r="536" spans="1:22">
      <c r="A536" t="s">
        <v>820</v>
      </c>
      <c r="B536" t="s">
        <v>145</v>
      </c>
      <c r="C536" t="s">
        <v>146</v>
      </c>
      <c r="D536" t="s">
        <v>56</v>
      </c>
      <c r="E536" t="s">
        <v>57</v>
      </c>
      <c r="F536" t="s">
        <v>26</v>
      </c>
      <c r="G536" t="s">
        <v>49</v>
      </c>
      <c r="H536" t="s">
        <v>800</v>
      </c>
      <c r="I536" t="s">
        <v>29</v>
      </c>
      <c r="J536" t="s">
        <v>30</v>
      </c>
      <c r="K536" t="s">
        <v>41</v>
      </c>
      <c r="L536" s="4">
        <v>46023</v>
      </c>
      <c r="M536" s="4">
        <v>46040</v>
      </c>
      <c r="N536" s="4"/>
      <c r="O536" t="s">
        <v>42</v>
      </c>
      <c r="P536" s="5">
        <v>0</v>
      </c>
      <c r="Q536" s="6">
        <v>14300</v>
      </c>
      <c r="R536" s="6">
        <v>0</v>
      </c>
      <c r="S536">
        <v>3</v>
      </c>
      <c r="T536" t="str">
        <f t="shared" si="16"/>
        <v/>
      </c>
      <c r="U536">
        <f>IF(COUNTIFS($B$2:B536,B536,$F$2:F536,F536)=1,1,0)</f>
        <v>0</v>
      </c>
      <c r="V536" s="13">
        <f t="shared" si="17"/>
        <v>14300</v>
      </c>
    </row>
    <row r="537" spans="1:22">
      <c r="A537" t="s">
        <v>821</v>
      </c>
      <c r="B537" t="s">
        <v>148</v>
      </c>
      <c r="C537" t="s">
        <v>149</v>
      </c>
      <c r="D537" t="s">
        <v>64</v>
      </c>
      <c r="E537" t="s">
        <v>65</v>
      </c>
      <c r="F537" t="s">
        <v>38</v>
      </c>
      <c r="G537" t="s">
        <v>59</v>
      </c>
      <c r="H537" t="s">
        <v>802</v>
      </c>
      <c r="I537" t="s">
        <v>86</v>
      </c>
      <c r="J537" t="s">
        <v>30</v>
      </c>
      <c r="K537" t="s">
        <v>51</v>
      </c>
      <c r="L537" s="4">
        <v>45787</v>
      </c>
      <c r="M537" s="4">
        <v>45813</v>
      </c>
      <c r="N537" s="4">
        <v>45810</v>
      </c>
      <c r="O537" t="s">
        <v>32</v>
      </c>
      <c r="P537" s="5">
        <v>1</v>
      </c>
      <c r="Q537" s="6">
        <v>9300</v>
      </c>
      <c r="R537" s="6">
        <v>7622.28</v>
      </c>
      <c r="S537">
        <v>0</v>
      </c>
      <c r="T537">
        <f t="shared" si="16"/>
        <v>0</v>
      </c>
      <c r="U537">
        <f>IF(COUNTIFS($B$2:B537,B537,$F$2:F537,F537)=1,1,0)</f>
        <v>0</v>
      </c>
      <c r="V537" s="13">
        <f t="shared" si="17"/>
        <v>1677.7200000000003</v>
      </c>
    </row>
    <row r="538" spans="1:22">
      <c r="A538" t="s">
        <v>822</v>
      </c>
      <c r="B538" t="s">
        <v>151</v>
      </c>
      <c r="C538" t="s">
        <v>152</v>
      </c>
      <c r="D538" t="s">
        <v>73</v>
      </c>
      <c r="E538" t="s">
        <v>74</v>
      </c>
      <c r="F538" t="s">
        <v>48</v>
      </c>
      <c r="G538" t="s">
        <v>67</v>
      </c>
      <c r="H538" t="s">
        <v>804</v>
      </c>
      <c r="I538" t="s">
        <v>29</v>
      </c>
      <c r="J538" t="s">
        <v>30</v>
      </c>
      <c r="K538" t="s">
        <v>31</v>
      </c>
      <c r="L538" s="4">
        <v>46035</v>
      </c>
      <c r="M538" s="4">
        <v>46043</v>
      </c>
      <c r="N538" s="4"/>
      <c r="O538" t="s">
        <v>52</v>
      </c>
      <c r="P538" s="5">
        <v>0.85</v>
      </c>
      <c r="Q538" s="6">
        <v>40500</v>
      </c>
      <c r="R538" s="6">
        <v>42742.96</v>
      </c>
      <c r="S538">
        <v>1</v>
      </c>
      <c r="T538" t="str">
        <f t="shared" si="16"/>
        <v/>
      </c>
      <c r="U538">
        <f>IF(COUNTIFS($B$2:B538,B538,$F$2:F538,F538)=1,1,0)</f>
        <v>0</v>
      </c>
      <c r="V538" s="13">
        <f t="shared" si="17"/>
        <v>-2242.9599999999991</v>
      </c>
    </row>
    <row r="539" spans="1:22">
      <c r="A539" t="s">
        <v>823</v>
      </c>
      <c r="B539" t="s">
        <v>154</v>
      </c>
      <c r="C539" t="s">
        <v>155</v>
      </c>
      <c r="D539" t="s">
        <v>82</v>
      </c>
      <c r="E539" t="s">
        <v>83</v>
      </c>
      <c r="F539" t="s">
        <v>58</v>
      </c>
      <c r="G539" t="s">
        <v>76</v>
      </c>
      <c r="H539" t="s">
        <v>788</v>
      </c>
      <c r="I539" t="s">
        <v>29</v>
      </c>
      <c r="J539" t="s">
        <v>29</v>
      </c>
      <c r="K539" t="s">
        <v>78</v>
      </c>
      <c r="L539" s="4">
        <v>46036</v>
      </c>
      <c r="M539" s="4">
        <v>46061</v>
      </c>
      <c r="N539" s="4">
        <v>46072</v>
      </c>
      <c r="O539" t="s">
        <v>32</v>
      </c>
      <c r="P539" s="5">
        <v>1</v>
      </c>
      <c r="Q539" s="6">
        <v>29100</v>
      </c>
      <c r="R539" s="6">
        <v>32398.21</v>
      </c>
      <c r="S539">
        <v>3</v>
      </c>
      <c r="T539">
        <f t="shared" si="16"/>
        <v>11</v>
      </c>
      <c r="U539">
        <f>IF(COUNTIFS($B$2:B539,B539,$F$2:F539,F539)=1,1,0)</f>
        <v>0</v>
      </c>
      <c r="V539" s="13">
        <f t="shared" si="17"/>
        <v>-3298.2099999999991</v>
      </c>
    </row>
    <row r="540" spans="1:22">
      <c r="A540" t="s">
        <v>824</v>
      </c>
      <c r="B540" t="s">
        <v>157</v>
      </c>
      <c r="C540" t="s">
        <v>158</v>
      </c>
      <c r="D540" t="s">
        <v>24</v>
      </c>
      <c r="E540" t="s">
        <v>25</v>
      </c>
      <c r="F540" t="s">
        <v>66</v>
      </c>
      <c r="G540" t="s">
        <v>84</v>
      </c>
      <c r="H540" t="s">
        <v>790</v>
      </c>
      <c r="I540" t="s">
        <v>69</v>
      </c>
      <c r="J540" t="s">
        <v>69</v>
      </c>
      <c r="K540" t="s">
        <v>51</v>
      </c>
      <c r="L540" s="4">
        <v>46062</v>
      </c>
      <c r="M540" s="4">
        <v>46077</v>
      </c>
      <c r="N540" s="4">
        <v>46085</v>
      </c>
      <c r="O540" t="s">
        <v>32</v>
      </c>
      <c r="P540" s="5">
        <v>1</v>
      </c>
      <c r="Q540" s="6">
        <v>3400</v>
      </c>
      <c r="R540" s="6">
        <v>3799.16</v>
      </c>
      <c r="S540">
        <v>4</v>
      </c>
      <c r="T540">
        <f t="shared" si="16"/>
        <v>8</v>
      </c>
      <c r="U540">
        <f>IF(COUNTIFS($B$2:B540,B540,$F$2:F540,F540)=1,1,0)</f>
        <v>0</v>
      </c>
      <c r="V540" s="13">
        <f t="shared" si="17"/>
        <v>-399.15999999999985</v>
      </c>
    </row>
    <row r="541" spans="1:22">
      <c r="A541" t="s">
        <v>825</v>
      </c>
      <c r="B541" t="s">
        <v>160</v>
      </c>
      <c r="C541" t="s">
        <v>161</v>
      </c>
      <c r="D541" t="s">
        <v>36</v>
      </c>
      <c r="E541" t="s">
        <v>37</v>
      </c>
      <c r="F541" t="s">
        <v>75</v>
      </c>
      <c r="G541" t="s">
        <v>95</v>
      </c>
      <c r="H541" t="s">
        <v>794</v>
      </c>
      <c r="I541" t="s">
        <v>69</v>
      </c>
      <c r="J541" t="s">
        <v>69</v>
      </c>
      <c r="K541" t="s">
        <v>31</v>
      </c>
      <c r="L541" s="4">
        <v>45979</v>
      </c>
      <c r="M541" s="4">
        <v>45987</v>
      </c>
      <c r="N541" s="4">
        <v>45995</v>
      </c>
      <c r="O541" t="s">
        <v>32</v>
      </c>
      <c r="P541" s="5">
        <v>1</v>
      </c>
      <c r="Q541" s="6">
        <v>33300</v>
      </c>
      <c r="R541" s="6">
        <v>36627.01</v>
      </c>
      <c r="S541">
        <v>4</v>
      </c>
      <c r="T541">
        <f t="shared" si="16"/>
        <v>8</v>
      </c>
      <c r="U541">
        <f>IF(COUNTIFS($B$2:B541,B541,$F$2:F541,F541)=1,1,0)</f>
        <v>0</v>
      </c>
      <c r="V541" s="13">
        <f t="shared" si="17"/>
        <v>-3327.010000000002</v>
      </c>
    </row>
    <row r="542" spans="1:22">
      <c r="A542" t="s">
        <v>826</v>
      </c>
      <c r="B542" t="s">
        <v>22</v>
      </c>
      <c r="C542" t="s">
        <v>23</v>
      </c>
      <c r="D542" t="s">
        <v>24</v>
      </c>
      <c r="E542" t="s">
        <v>25</v>
      </c>
      <c r="F542" t="s">
        <v>26</v>
      </c>
      <c r="G542" t="s">
        <v>27</v>
      </c>
      <c r="H542" t="s">
        <v>827</v>
      </c>
      <c r="I542" t="s">
        <v>29</v>
      </c>
      <c r="J542" t="s">
        <v>69</v>
      </c>
      <c r="K542" t="s">
        <v>178</v>
      </c>
      <c r="L542" s="4">
        <v>45990</v>
      </c>
      <c r="M542" s="4">
        <v>46012</v>
      </c>
      <c r="N542" s="4">
        <v>46013</v>
      </c>
      <c r="O542" t="s">
        <v>32</v>
      </c>
      <c r="P542" s="5">
        <v>1</v>
      </c>
      <c r="Q542" s="6">
        <v>2000</v>
      </c>
      <c r="R542" s="6">
        <v>1881.51</v>
      </c>
      <c r="S542">
        <v>3</v>
      </c>
      <c r="T542">
        <f t="shared" si="16"/>
        <v>1</v>
      </c>
      <c r="U542">
        <f>IF(COUNTIFS($B$2:B542,B542,$F$2:F542,F542)=1,1,0)</f>
        <v>0</v>
      </c>
      <c r="V542" s="13">
        <f t="shared" si="17"/>
        <v>118.49000000000001</v>
      </c>
    </row>
    <row r="543" spans="1:22">
      <c r="A543" t="s">
        <v>828</v>
      </c>
      <c r="B543" t="s">
        <v>34</v>
      </c>
      <c r="C543" t="s">
        <v>35</v>
      </c>
      <c r="D543" t="s">
        <v>36</v>
      </c>
      <c r="E543" t="s">
        <v>37</v>
      </c>
      <c r="F543" t="s">
        <v>38</v>
      </c>
      <c r="G543" t="s">
        <v>39</v>
      </c>
      <c r="H543" t="s">
        <v>829</v>
      </c>
      <c r="I543" t="s">
        <v>69</v>
      </c>
      <c r="J543" t="s">
        <v>29</v>
      </c>
      <c r="K543" t="s">
        <v>143</v>
      </c>
      <c r="L543" s="4">
        <v>45775</v>
      </c>
      <c r="M543" s="4">
        <v>45796</v>
      </c>
      <c r="N543" s="4">
        <v>45791</v>
      </c>
      <c r="O543" t="s">
        <v>32</v>
      </c>
      <c r="P543" s="5">
        <v>1</v>
      </c>
      <c r="Q543" s="6">
        <v>27700</v>
      </c>
      <c r="R543" s="6">
        <v>29197.09</v>
      </c>
      <c r="S543">
        <v>4</v>
      </c>
      <c r="T543">
        <f t="shared" si="16"/>
        <v>0</v>
      </c>
      <c r="U543">
        <f>IF(COUNTIFS($B$2:B543,B543,$F$2:F543,F543)=1,1,0)</f>
        <v>0</v>
      </c>
      <c r="V543" s="13">
        <f t="shared" si="17"/>
        <v>-1497.0900000000001</v>
      </c>
    </row>
    <row r="544" spans="1:22">
      <c r="A544" t="s">
        <v>830</v>
      </c>
      <c r="B544" t="s">
        <v>44</v>
      </c>
      <c r="C544" t="s">
        <v>45</v>
      </c>
      <c r="D544" t="s">
        <v>46</v>
      </c>
      <c r="E544" t="s">
        <v>47</v>
      </c>
      <c r="F544" t="s">
        <v>48</v>
      </c>
      <c r="G544" t="s">
        <v>49</v>
      </c>
      <c r="H544" t="s">
        <v>831</v>
      </c>
      <c r="I544" t="s">
        <v>29</v>
      </c>
      <c r="J544" t="s">
        <v>29</v>
      </c>
      <c r="K544" t="s">
        <v>41</v>
      </c>
      <c r="L544" s="4">
        <v>45728</v>
      </c>
      <c r="M544" s="4">
        <v>45732</v>
      </c>
      <c r="N544" s="4"/>
      <c r="O544" t="s">
        <v>32</v>
      </c>
      <c r="P544" s="5">
        <v>0.25</v>
      </c>
      <c r="Q544" s="6">
        <v>29900</v>
      </c>
      <c r="R544" s="6">
        <v>30778.84</v>
      </c>
      <c r="S544">
        <v>4</v>
      </c>
      <c r="T544" t="str">
        <f t="shared" si="16"/>
        <v/>
      </c>
      <c r="U544">
        <f>IF(COUNTIFS($B$2:B544,B544,$F$2:F544,F544)=1,1,0)</f>
        <v>0</v>
      </c>
      <c r="V544" s="13">
        <f t="shared" si="17"/>
        <v>-878.84000000000015</v>
      </c>
    </row>
    <row r="545" spans="1:22">
      <c r="A545" t="s">
        <v>832</v>
      </c>
      <c r="B545" t="s">
        <v>54</v>
      </c>
      <c r="C545" t="s">
        <v>55</v>
      </c>
      <c r="D545" t="s">
        <v>56</v>
      </c>
      <c r="E545" t="s">
        <v>57</v>
      </c>
      <c r="F545" t="s">
        <v>58</v>
      </c>
      <c r="G545" t="s">
        <v>59</v>
      </c>
      <c r="H545" t="s">
        <v>833</v>
      </c>
      <c r="I545" t="s">
        <v>69</v>
      </c>
      <c r="J545" t="s">
        <v>29</v>
      </c>
      <c r="K545" t="s">
        <v>31</v>
      </c>
      <c r="L545" s="4">
        <v>46064</v>
      </c>
      <c r="M545" s="4">
        <v>46068</v>
      </c>
      <c r="N545" s="4"/>
      <c r="O545" t="s">
        <v>32</v>
      </c>
      <c r="P545" s="5">
        <v>0</v>
      </c>
      <c r="Q545" s="6">
        <v>44700</v>
      </c>
      <c r="R545" s="6">
        <v>0</v>
      </c>
      <c r="S545">
        <v>2</v>
      </c>
      <c r="T545" t="str">
        <f t="shared" si="16"/>
        <v/>
      </c>
      <c r="U545">
        <f>IF(COUNTIFS($B$2:B545,B545,$F$2:F545,F545)=1,1,0)</f>
        <v>0</v>
      </c>
      <c r="V545" s="13">
        <f t="shared" si="17"/>
        <v>44700</v>
      </c>
    </row>
    <row r="546" spans="1:22">
      <c r="A546" t="s">
        <v>834</v>
      </c>
      <c r="B546" t="s">
        <v>62</v>
      </c>
      <c r="C546" t="s">
        <v>63</v>
      </c>
      <c r="D546" t="s">
        <v>64</v>
      </c>
      <c r="E546" t="s">
        <v>65</v>
      </c>
      <c r="F546" t="s">
        <v>66</v>
      </c>
      <c r="G546" t="s">
        <v>67</v>
      </c>
      <c r="H546" t="s">
        <v>835</v>
      </c>
      <c r="I546" t="s">
        <v>69</v>
      </c>
      <c r="J546" t="s">
        <v>29</v>
      </c>
      <c r="K546" t="s">
        <v>51</v>
      </c>
      <c r="L546" s="4">
        <v>45946</v>
      </c>
      <c r="M546" s="4">
        <v>45954</v>
      </c>
      <c r="N546" s="4"/>
      <c r="O546" t="s">
        <v>32</v>
      </c>
      <c r="P546" s="5">
        <v>0.65</v>
      </c>
      <c r="Q546" s="6">
        <v>17200</v>
      </c>
      <c r="R546" s="6">
        <v>18857.73</v>
      </c>
      <c r="S546">
        <v>4</v>
      </c>
      <c r="T546" t="str">
        <f t="shared" si="16"/>
        <v/>
      </c>
      <c r="U546">
        <f>IF(COUNTIFS($B$2:B546,B546,$F$2:F546,F546)=1,1,0)</f>
        <v>0</v>
      </c>
      <c r="V546" s="13">
        <f t="shared" si="17"/>
        <v>-1657.7299999999996</v>
      </c>
    </row>
    <row r="547" spans="1:22">
      <c r="A547" t="s">
        <v>836</v>
      </c>
      <c r="B547" t="s">
        <v>71</v>
      </c>
      <c r="C547" t="s">
        <v>72</v>
      </c>
      <c r="D547" t="s">
        <v>73</v>
      </c>
      <c r="E547" t="s">
        <v>74</v>
      </c>
      <c r="F547" t="s">
        <v>75</v>
      </c>
      <c r="G547" t="s">
        <v>76</v>
      </c>
      <c r="H547" t="s">
        <v>837</v>
      </c>
      <c r="I547" t="s">
        <v>29</v>
      </c>
      <c r="J547" t="s">
        <v>69</v>
      </c>
      <c r="K547" t="s">
        <v>41</v>
      </c>
      <c r="L547" s="4">
        <v>45897</v>
      </c>
      <c r="M547" s="4">
        <v>45926</v>
      </c>
      <c r="N547" s="4">
        <v>45931</v>
      </c>
      <c r="O547" t="s">
        <v>32</v>
      </c>
      <c r="P547" s="5">
        <v>1</v>
      </c>
      <c r="Q547" s="6">
        <v>14200</v>
      </c>
      <c r="R547" s="6">
        <v>16790.18</v>
      </c>
      <c r="S547">
        <v>4</v>
      </c>
      <c r="T547">
        <f t="shared" si="16"/>
        <v>5</v>
      </c>
      <c r="U547">
        <f>IF(COUNTIFS($B$2:B547,B547,$F$2:F547,F547)=1,1,0)</f>
        <v>0</v>
      </c>
      <c r="V547" s="13">
        <f t="shared" si="17"/>
        <v>-2590.1800000000003</v>
      </c>
    </row>
    <row r="548" spans="1:22">
      <c r="A548" t="s">
        <v>838</v>
      </c>
      <c r="B548" t="s">
        <v>80</v>
      </c>
      <c r="C548" t="s">
        <v>81</v>
      </c>
      <c r="D548" t="s">
        <v>82</v>
      </c>
      <c r="E548" t="s">
        <v>83</v>
      </c>
      <c r="F548" t="s">
        <v>26</v>
      </c>
      <c r="G548" t="s">
        <v>84</v>
      </c>
      <c r="H548" t="s">
        <v>839</v>
      </c>
      <c r="I548" t="s">
        <v>29</v>
      </c>
      <c r="J548" t="s">
        <v>29</v>
      </c>
      <c r="K548" t="s">
        <v>143</v>
      </c>
      <c r="L548" s="4">
        <v>45830</v>
      </c>
      <c r="M548" s="4">
        <v>45852</v>
      </c>
      <c r="N548" s="4"/>
      <c r="O548" t="s">
        <v>32</v>
      </c>
      <c r="P548" s="5">
        <v>0</v>
      </c>
      <c r="Q548" s="6">
        <v>26400</v>
      </c>
      <c r="R548" s="6">
        <v>0</v>
      </c>
      <c r="S548">
        <v>1</v>
      </c>
      <c r="T548" t="str">
        <f t="shared" si="16"/>
        <v/>
      </c>
      <c r="U548">
        <f>IF(COUNTIFS($B$2:B548,B548,$F$2:F548,F548)=1,1,0)</f>
        <v>0</v>
      </c>
      <c r="V548" s="13">
        <f t="shared" si="17"/>
        <v>26400</v>
      </c>
    </row>
    <row r="549" spans="1:22">
      <c r="A549" t="s">
        <v>840</v>
      </c>
      <c r="B549" t="s">
        <v>88</v>
      </c>
      <c r="C549" t="s">
        <v>89</v>
      </c>
      <c r="D549" t="s">
        <v>24</v>
      </c>
      <c r="E549" t="s">
        <v>25</v>
      </c>
      <c r="F549" t="s">
        <v>38</v>
      </c>
      <c r="G549" t="s">
        <v>90</v>
      </c>
      <c r="H549" t="s">
        <v>841</v>
      </c>
      <c r="I549" t="s">
        <v>30</v>
      </c>
      <c r="J549" t="s">
        <v>29</v>
      </c>
      <c r="K549" t="s">
        <v>51</v>
      </c>
      <c r="L549" s="4">
        <v>45807</v>
      </c>
      <c r="M549" s="4">
        <v>45823</v>
      </c>
      <c r="N549" s="4">
        <v>45822</v>
      </c>
      <c r="O549" t="s">
        <v>32</v>
      </c>
      <c r="P549" s="5">
        <v>1</v>
      </c>
      <c r="Q549" s="6">
        <v>44800</v>
      </c>
      <c r="R549" s="6">
        <v>51195.040000000001</v>
      </c>
      <c r="S549">
        <v>1</v>
      </c>
      <c r="T549">
        <f t="shared" si="16"/>
        <v>0</v>
      </c>
      <c r="U549">
        <f>IF(COUNTIFS($B$2:B549,B549,$F$2:F549,F549)=1,1,0)</f>
        <v>0</v>
      </c>
      <c r="V549" s="13">
        <f t="shared" si="17"/>
        <v>-6395.0400000000009</v>
      </c>
    </row>
    <row r="550" spans="1:22">
      <c r="A550" t="s">
        <v>842</v>
      </c>
      <c r="B550" t="s">
        <v>93</v>
      </c>
      <c r="C550" t="s">
        <v>94</v>
      </c>
      <c r="D550" t="s">
        <v>36</v>
      </c>
      <c r="E550" t="s">
        <v>37</v>
      </c>
      <c r="F550" t="s">
        <v>48</v>
      </c>
      <c r="G550" t="s">
        <v>95</v>
      </c>
      <c r="H550" t="s">
        <v>843</v>
      </c>
      <c r="I550" t="s">
        <v>29</v>
      </c>
      <c r="J550" t="s">
        <v>30</v>
      </c>
      <c r="K550" t="s">
        <v>51</v>
      </c>
      <c r="L550" s="4">
        <v>46166</v>
      </c>
      <c r="M550" s="4">
        <v>46194</v>
      </c>
      <c r="N550" s="4"/>
      <c r="O550" t="s">
        <v>42</v>
      </c>
      <c r="P550" s="5">
        <v>0</v>
      </c>
      <c r="Q550" s="6">
        <v>28000</v>
      </c>
      <c r="R550" s="6">
        <v>0</v>
      </c>
      <c r="S550">
        <v>0</v>
      </c>
      <c r="T550" t="str">
        <f t="shared" si="16"/>
        <v/>
      </c>
      <c r="U550">
        <f>IF(COUNTIFS($B$2:B550,B550,$F$2:F550,F550)=1,1,0)</f>
        <v>0</v>
      </c>
      <c r="V550" s="13">
        <f t="shared" si="17"/>
        <v>28000</v>
      </c>
    </row>
    <row r="551" spans="1:22">
      <c r="A551" t="s">
        <v>844</v>
      </c>
      <c r="B551" t="s">
        <v>98</v>
      </c>
      <c r="C551" t="s">
        <v>99</v>
      </c>
      <c r="D551" t="s">
        <v>46</v>
      </c>
      <c r="E551" t="s">
        <v>47</v>
      </c>
      <c r="F551" t="s">
        <v>58</v>
      </c>
      <c r="G551" t="s">
        <v>27</v>
      </c>
      <c r="H551" t="s">
        <v>827</v>
      </c>
      <c r="I551" t="s">
        <v>30</v>
      </c>
      <c r="J551" t="s">
        <v>30</v>
      </c>
      <c r="K551" t="s">
        <v>51</v>
      </c>
      <c r="L551" s="4">
        <v>45745</v>
      </c>
      <c r="M551" s="4">
        <v>45771</v>
      </c>
      <c r="N551" s="4">
        <v>45754</v>
      </c>
      <c r="O551" t="s">
        <v>32</v>
      </c>
      <c r="P551" s="5">
        <v>1</v>
      </c>
      <c r="Q551" s="6">
        <v>36300</v>
      </c>
      <c r="R551" s="6">
        <v>41154.400000000001</v>
      </c>
      <c r="S551">
        <v>1</v>
      </c>
      <c r="T551">
        <f t="shared" si="16"/>
        <v>0</v>
      </c>
      <c r="U551">
        <f>IF(COUNTIFS($B$2:B551,B551,$F$2:F551,F551)=1,1,0)</f>
        <v>0</v>
      </c>
      <c r="V551" s="13">
        <f t="shared" si="17"/>
        <v>-4854.4000000000015</v>
      </c>
    </row>
    <row r="552" spans="1:22">
      <c r="A552" t="s">
        <v>845</v>
      </c>
      <c r="B552" t="s">
        <v>101</v>
      </c>
      <c r="C552" t="s">
        <v>102</v>
      </c>
      <c r="D552" t="s">
        <v>56</v>
      </c>
      <c r="E552" t="s">
        <v>57</v>
      </c>
      <c r="F552" t="s">
        <v>66</v>
      </c>
      <c r="G552" t="s">
        <v>39</v>
      </c>
      <c r="H552" t="s">
        <v>829</v>
      </c>
      <c r="I552" t="s">
        <v>29</v>
      </c>
      <c r="J552" t="s">
        <v>29</v>
      </c>
      <c r="K552" t="s">
        <v>51</v>
      </c>
      <c r="L552" s="4">
        <v>46011</v>
      </c>
      <c r="M552" s="4">
        <v>46034</v>
      </c>
      <c r="N552" s="4"/>
      <c r="O552" t="s">
        <v>52</v>
      </c>
      <c r="P552" s="5">
        <v>0.5</v>
      </c>
      <c r="Q552" s="6">
        <v>12600</v>
      </c>
      <c r="R552" s="6">
        <v>13918.49</v>
      </c>
      <c r="S552">
        <v>2</v>
      </c>
      <c r="T552" t="str">
        <f t="shared" si="16"/>
        <v/>
      </c>
      <c r="U552">
        <f>IF(COUNTIFS($B$2:B552,B552,$F$2:F552,F552)=1,1,0)</f>
        <v>0</v>
      </c>
      <c r="V552" s="13">
        <f t="shared" si="17"/>
        <v>-1318.4899999999998</v>
      </c>
    </row>
    <row r="553" spans="1:22">
      <c r="A553" t="s">
        <v>846</v>
      </c>
      <c r="B553" t="s">
        <v>104</v>
      </c>
      <c r="C553" t="s">
        <v>105</v>
      </c>
      <c r="D553" t="s">
        <v>64</v>
      </c>
      <c r="E553" t="s">
        <v>65</v>
      </c>
      <c r="F553" t="s">
        <v>75</v>
      </c>
      <c r="G553" t="s">
        <v>49</v>
      </c>
      <c r="H553" t="s">
        <v>831</v>
      </c>
      <c r="I553" t="s">
        <v>29</v>
      </c>
      <c r="J553" t="s">
        <v>29</v>
      </c>
      <c r="K553" t="s">
        <v>31</v>
      </c>
      <c r="L553" s="4">
        <v>46127</v>
      </c>
      <c r="M553" s="4">
        <v>46140</v>
      </c>
      <c r="N553" s="4"/>
      <c r="O553" t="s">
        <v>52</v>
      </c>
      <c r="P553" s="5">
        <v>0.75</v>
      </c>
      <c r="Q553" s="6">
        <v>28300</v>
      </c>
      <c r="R553" s="6">
        <v>30768.46</v>
      </c>
      <c r="S553">
        <v>2</v>
      </c>
      <c r="T553" t="str">
        <f t="shared" si="16"/>
        <v/>
      </c>
      <c r="U553">
        <f>IF(COUNTIFS($B$2:B553,B553,$F$2:F553,F553)=1,1,0)</f>
        <v>0</v>
      </c>
      <c r="V553" s="13">
        <f t="shared" si="17"/>
        <v>-2468.4599999999991</v>
      </c>
    </row>
    <row r="554" spans="1:22">
      <c r="A554" t="s">
        <v>847</v>
      </c>
      <c r="B554" t="s">
        <v>107</v>
      </c>
      <c r="C554" t="s">
        <v>108</v>
      </c>
      <c r="D554" t="s">
        <v>73</v>
      </c>
      <c r="E554" t="s">
        <v>74</v>
      </c>
      <c r="F554" t="s">
        <v>26</v>
      </c>
      <c r="G554" t="s">
        <v>59</v>
      </c>
      <c r="H554" t="s">
        <v>833</v>
      </c>
      <c r="I554" t="s">
        <v>29</v>
      </c>
      <c r="J554" t="s">
        <v>30</v>
      </c>
      <c r="K554" t="s">
        <v>78</v>
      </c>
      <c r="L554" s="4">
        <v>46063</v>
      </c>
      <c r="M554" s="4">
        <v>46091</v>
      </c>
      <c r="N554" s="4"/>
      <c r="O554" t="s">
        <v>42</v>
      </c>
      <c r="P554" s="5">
        <v>0</v>
      </c>
      <c r="Q554" s="6">
        <v>7400</v>
      </c>
      <c r="R554" s="6">
        <v>0</v>
      </c>
      <c r="S554">
        <v>2</v>
      </c>
      <c r="T554" t="str">
        <f t="shared" si="16"/>
        <v/>
      </c>
      <c r="U554">
        <f>IF(COUNTIFS($B$2:B554,B554,$F$2:F554,F554)=1,1,0)</f>
        <v>0</v>
      </c>
      <c r="V554" s="13">
        <f t="shared" si="17"/>
        <v>7400</v>
      </c>
    </row>
    <row r="555" spans="1:22">
      <c r="A555" t="s">
        <v>848</v>
      </c>
      <c r="B555" t="s">
        <v>111</v>
      </c>
      <c r="C555" t="s">
        <v>112</v>
      </c>
      <c r="D555" t="s">
        <v>82</v>
      </c>
      <c r="E555" t="s">
        <v>83</v>
      </c>
      <c r="F555" t="s">
        <v>38</v>
      </c>
      <c r="G555" t="s">
        <v>67</v>
      </c>
      <c r="H555" t="s">
        <v>835</v>
      </c>
      <c r="I555" t="s">
        <v>69</v>
      </c>
      <c r="J555" t="s">
        <v>69</v>
      </c>
      <c r="K555" t="s">
        <v>143</v>
      </c>
      <c r="L555" s="4">
        <v>45812</v>
      </c>
      <c r="M555" s="4">
        <v>45838</v>
      </c>
      <c r="N555" s="4"/>
      <c r="O555" t="s">
        <v>42</v>
      </c>
      <c r="P555" s="5">
        <v>0</v>
      </c>
      <c r="Q555" s="6">
        <v>24200</v>
      </c>
      <c r="R555" s="6">
        <v>0</v>
      </c>
      <c r="S555">
        <v>2</v>
      </c>
      <c r="T555" t="str">
        <f t="shared" si="16"/>
        <v/>
      </c>
      <c r="U555">
        <f>IF(COUNTIFS($B$2:B555,B555,$F$2:F555,F555)=1,1,0)</f>
        <v>0</v>
      </c>
      <c r="V555" s="13">
        <f t="shared" si="17"/>
        <v>24200</v>
      </c>
    </row>
    <row r="556" spans="1:22">
      <c r="A556" t="s">
        <v>849</v>
      </c>
      <c r="B556" t="s">
        <v>114</v>
      </c>
      <c r="C556" t="s">
        <v>115</v>
      </c>
      <c r="D556" t="s">
        <v>24</v>
      </c>
      <c r="E556" t="s">
        <v>25</v>
      </c>
      <c r="F556" t="s">
        <v>48</v>
      </c>
      <c r="G556" t="s">
        <v>76</v>
      </c>
      <c r="H556" t="s">
        <v>837</v>
      </c>
      <c r="I556" t="s">
        <v>29</v>
      </c>
      <c r="J556" t="s">
        <v>30</v>
      </c>
      <c r="K556" t="s">
        <v>51</v>
      </c>
      <c r="L556" s="4">
        <v>46049</v>
      </c>
      <c r="M556" s="4">
        <v>46077</v>
      </c>
      <c r="N556" s="4">
        <v>46080</v>
      </c>
      <c r="O556" t="s">
        <v>32</v>
      </c>
      <c r="P556" s="5">
        <v>1</v>
      </c>
      <c r="Q556" s="6">
        <v>8000</v>
      </c>
      <c r="R556" s="6">
        <v>7847.65</v>
      </c>
      <c r="S556">
        <v>2</v>
      </c>
      <c r="T556">
        <f t="shared" si="16"/>
        <v>3</v>
      </c>
      <c r="U556">
        <f>IF(COUNTIFS($B$2:B556,B556,$F$2:F556,F556)=1,1,0)</f>
        <v>0</v>
      </c>
      <c r="V556" s="13">
        <f t="shared" si="17"/>
        <v>152.35000000000036</v>
      </c>
    </row>
    <row r="557" spans="1:22">
      <c r="A557" t="s">
        <v>850</v>
      </c>
      <c r="B557" t="s">
        <v>117</v>
      </c>
      <c r="C557" t="s">
        <v>118</v>
      </c>
      <c r="D557" t="s">
        <v>36</v>
      </c>
      <c r="E557" t="s">
        <v>37</v>
      </c>
      <c r="F557" t="s">
        <v>58</v>
      </c>
      <c r="G557" t="s">
        <v>84</v>
      </c>
      <c r="H557" t="s">
        <v>839</v>
      </c>
      <c r="I557" t="s">
        <v>29</v>
      </c>
      <c r="J557" t="s">
        <v>29</v>
      </c>
      <c r="K557" t="s">
        <v>31</v>
      </c>
      <c r="L557" s="4">
        <v>45978</v>
      </c>
      <c r="M557" s="4">
        <v>45986</v>
      </c>
      <c r="N557" s="4">
        <v>45983</v>
      </c>
      <c r="O557" t="s">
        <v>32</v>
      </c>
      <c r="P557" s="5">
        <v>1</v>
      </c>
      <c r="Q557" s="6">
        <v>39100</v>
      </c>
      <c r="R557" s="6">
        <v>39947.06</v>
      </c>
      <c r="S557">
        <v>0</v>
      </c>
      <c r="T557">
        <f t="shared" si="16"/>
        <v>0</v>
      </c>
      <c r="U557">
        <f>IF(COUNTIFS($B$2:B557,B557,$F$2:F557,F557)=1,1,0)</f>
        <v>0</v>
      </c>
      <c r="V557" s="13">
        <f t="shared" si="17"/>
        <v>-847.05999999999767</v>
      </c>
    </row>
    <row r="558" spans="1:22">
      <c r="A558" t="s">
        <v>851</v>
      </c>
      <c r="B558" t="s">
        <v>120</v>
      </c>
      <c r="C558" t="s">
        <v>121</v>
      </c>
      <c r="D558" t="s">
        <v>46</v>
      </c>
      <c r="E558" t="s">
        <v>47</v>
      </c>
      <c r="F558" t="s">
        <v>66</v>
      </c>
      <c r="G558" t="s">
        <v>90</v>
      </c>
      <c r="H558" t="s">
        <v>841</v>
      </c>
      <c r="I558" t="s">
        <v>29</v>
      </c>
      <c r="J558" t="s">
        <v>30</v>
      </c>
      <c r="K558" t="s">
        <v>31</v>
      </c>
      <c r="L558" s="4">
        <v>45806</v>
      </c>
      <c r="M558" s="4">
        <v>45816</v>
      </c>
      <c r="N558" s="4"/>
      <c r="O558" t="s">
        <v>52</v>
      </c>
      <c r="P558" s="5">
        <v>0.9</v>
      </c>
      <c r="Q558" s="6">
        <v>42900</v>
      </c>
      <c r="R558" s="6">
        <v>44603.47</v>
      </c>
      <c r="S558">
        <v>2</v>
      </c>
      <c r="T558" t="str">
        <f t="shared" si="16"/>
        <v/>
      </c>
      <c r="U558">
        <f>IF(COUNTIFS($B$2:B558,B558,$F$2:F558,F558)=1,1,0)</f>
        <v>0</v>
      </c>
      <c r="V558" s="13">
        <f t="shared" si="17"/>
        <v>-1703.4700000000012</v>
      </c>
    </row>
    <row r="559" spans="1:22">
      <c r="A559" t="s">
        <v>852</v>
      </c>
      <c r="B559" t="s">
        <v>123</v>
      </c>
      <c r="C559" t="s">
        <v>124</v>
      </c>
      <c r="D559" t="s">
        <v>56</v>
      </c>
      <c r="E559" t="s">
        <v>57</v>
      </c>
      <c r="F559" t="s">
        <v>75</v>
      </c>
      <c r="G559" t="s">
        <v>95</v>
      </c>
      <c r="H559" t="s">
        <v>843</v>
      </c>
      <c r="I559" t="s">
        <v>30</v>
      </c>
      <c r="J559" t="s">
        <v>29</v>
      </c>
      <c r="K559" t="s">
        <v>78</v>
      </c>
      <c r="L559" s="4">
        <v>45701</v>
      </c>
      <c r="M559" s="4">
        <v>45718</v>
      </c>
      <c r="N559" s="4">
        <v>45725</v>
      </c>
      <c r="O559" t="s">
        <v>32</v>
      </c>
      <c r="P559" s="5">
        <v>1</v>
      </c>
      <c r="Q559" s="6">
        <v>8200</v>
      </c>
      <c r="R559" s="6">
        <v>6499.2</v>
      </c>
      <c r="S559">
        <v>1</v>
      </c>
      <c r="T559">
        <f t="shared" si="16"/>
        <v>7</v>
      </c>
      <c r="U559">
        <f>IF(COUNTIFS($B$2:B559,B559,$F$2:F559,F559)=1,1,0)</f>
        <v>0</v>
      </c>
      <c r="V559" s="13">
        <f t="shared" si="17"/>
        <v>1700.8000000000002</v>
      </c>
    </row>
    <row r="560" spans="1:22">
      <c r="A560" t="s">
        <v>853</v>
      </c>
      <c r="B560" t="s">
        <v>126</v>
      </c>
      <c r="C560" t="s">
        <v>127</v>
      </c>
      <c r="D560" t="s">
        <v>64</v>
      </c>
      <c r="E560" t="s">
        <v>65</v>
      </c>
      <c r="F560" t="s">
        <v>26</v>
      </c>
      <c r="G560" t="s">
        <v>27</v>
      </c>
      <c r="H560" t="s">
        <v>827</v>
      </c>
      <c r="I560" t="s">
        <v>69</v>
      </c>
      <c r="J560" t="s">
        <v>30</v>
      </c>
      <c r="K560" t="s">
        <v>31</v>
      </c>
      <c r="L560" s="4">
        <v>45735</v>
      </c>
      <c r="M560" s="4">
        <v>45764</v>
      </c>
      <c r="N560" s="4"/>
      <c r="O560" t="s">
        <v>109</v>
      </c>
      <c r="P560" s="5">
        <v>0.65</v>
      </c>
      <c r="Q560" s="6">
        <v>30900</v>
      </c>
      <c r="R560" s="6">
        <v>34815.269999999997</v>
      </c>
      <c r="S560">
        <v>3</v>
      </c>
      <c r="T560" t="str">
        <f t="shared" si="16"/>
        <v/>
      </c>
      <c r="U560">
        <f>IF(COUNTIFS($B$2:B560,B560,$F$2:F560,F560)=1,1,0)</f>
        <v>0</v>
      </c>
      <c r="V560" s="13">
        <f t="shared" si="17"/>
        <v>-3915.2699999999968</v>
      </c>
    </row>
    <row r="561" spans="1:22">
      <c r="A561" t="s">
        <v>854</v>
      </c>
      <c r="B561" t="s">
        <v>129</v>
      </c>
      <c r="C561" t="s">
        <v>130</v>
      </c>
      <c r="D561" t="s">
        <v>73</v>
      </c>
      <c r="E561" t="s">
        <v>74</v>
      </c>
      <c r="F561" t="s">
        <v>38</v>
      </c>
      <c r="G561" t="s">
        <v>39</v>
      </c>
      <c r="H561" t="s">
        <v>829</v>
      </c>
      <c r="I561" t="s">
        <v>29</v>
      </c>
      <c r="J561" t="s">
        <v>29</v>
      </c>
      <c r="K561" t="s">
        <v>143</v>
      </c>
      <c r="L561" s="4">
        <v>45775</v>
      </c>
      <c r="M561" s="4">
        <v>45787</v>
      </c>
      <c r="N561" s="4">
        <v>45797</v>
      </c>
      <c r="O561" t="s">
        <v>32</v>
      </c>
      <c r="P561" s="5">
        <v>1</v>
      </c>
      <c r="Q561" s="6">
        <v>31400</v>
      </c>
      <c r="R561" s="6">
        <v>30804.89</v>
      </c>
      <c r="S561">
        <v>1</v>
      </c>
      <c r="T561">
        <f t="shared" si="16"/>
        <v>10</v>
      </c>
      <c r="U561">
        <f>IF(COUNTIFS($B$2:B561,B561,$F$2:F561,F561)=1,1,0)</f>
        <v>0</v>
      </c>
      <c r="V561" s="13">
        <f t="shared" si="17"/>
        <v>595.11000000000058</v>
      </c>
    </row>
    <row r="562" spans="1:22">
      <c r="A562" t="s">
        <v>855</v>
      </c>
      <c r="B562" t="s">
        <v>132</v>
      </c>
      <c r="C562" t="s">
        <v>133</v>
      </c>
      <c r="D562" t="s">
        <v>82</v>
      </c>
      <c r="E562" t="s">
        <v>83</v>
      </c>
      <c r="F562" t="s">
        <v>48</v>
      </c>
      <c r="G562" t="s">
        <v>49</v>
      </c>
      <c r="H562" t="s">
        <v>831</v>
      </c>
      <c r="I562" t="s">
        <v>29</v>
      </c>
      <c r="J562" t="s">
        <v>30</v>
      </c>
      <c r="K562" t="s">
        <v>143</v>
      </c>
      <c r="L562" s="4">
        <v>45861</v>
      </c>
      <c r="M562" s="4">
        <v>45864</v>
      </c>
      <c r="N562" s="4">
        <v>45860</v>
      </c>
      <c r="O562" t="s">
        <v>32</v>
      </c>
      <c r="P562" s="5">
        <v>1</v>
      </c>
      <c r="Q562" s="6">
        <v>15500</v>
      </c>
      <c r="R562" s="6">
        <v>19137.400000000001</v>
      </c>
      <c r="S562">
        <v>2</v>
      </c>
      <c r="T562">
        <f t="shared" si="16"/>
        <v>0</v>
      </c>
      <c r="U562">
        <f>IF(COUNTIFS($B$2:B562,B562,$F$2:F562,F562)=1,1,0)</f>
        <v>0</v>
      </c>
      <c r="V562" s="13">
        <f t="shared" si="17"/>
        <v>-3637.4000000000015</v>
      </c>
    </row>
    <row r="563" spans="1:22">
      <c r="A563" t="s">
        <v>856</v>
      </c>
      <c r="B563" t="s">
        <v>135</v>
      </c>
      <c r="C563" t="s">
        <v>136</v>
      </c>
      <c r="D563" t="s">
        <v>24</v>
      </c>
      <c r="E563" t="s">
        <v>25</v>
      </c>
      <c r="F563" t="s">
        <v>58</v>
      </c>
      <c r="G563" t="s">
        <v>59</v>
      </c>
      <c r="H563" t="s">
        <v>833</v>
      </c>
      <c r="I563" t="s">
        <v>29</v>
      </c>
      <c r="J563" t="s">
        <v>30</v>
      </c>
      <c r="K563" t="s">
        <v>31</v>
      </c>
      <c r="L563" s="4">
        <v>45959</v>
      </c>
      <c r="M563" s="4">
        <v>45967</v>
      </c>
      <c r="N563" s="4"/>
      <c r="O563" t="s">
        <v>52</v>
      </c>
      <c r="P563" s="5">
        <v>0.25</v>
      </c>
      <c r="Q563" s="6">
        <v>43200</v>
      </c>
      <c r="R563" s="6">
        <v>47641.96</v>
      </c>
      <c r="S563">
        <v>1</v>
      </c>
      <c r="T563" t="str">
        <f t="shared" si="16"/>
        <v/>
      </c>
      <c r="U563">
        <f>IF(COUNTIFS($B$2:B563,B563,$F$2:F563,F563)=1,1,0)</f>
        <v>0</v>
      </c>
      <c r="V563" s="13">
        <f t="shared" si="17"/>
        <v>-4441.9599999999991</v>
      </c>
    </row>
    <row r="564" spans="1:22">
      <c r="A564" t="s">
        <v>857</v>
      </c>
      <c r="B564" t="s">
        <v>138</v>
      </c>
      <c r="C564" t="s">
        <v>139</v>
      </c>
      <c r="D564" t="s">
        <v>36</v>
      </c>
      <c r="E564" t="s">
        <v>37</v>
      </c>
      <c r="F564" t="s">
        <v>66</v>
      </c>
      <c r="G564" t="s">
        <v>67</v>
      </c>
      <c r="H564" t="s">
        <v>835</v>
      </c>
      <c r="I564" t="s">
        <v>29</v>
      </c>
      <c r="J564" t="s">
        <v>29</v>
      </c>
      <c r="K564" t="s">
        <v>31</v>
      </c>
      <c r="L564" s="4">
        <v>46043</v>
      </c>
      <c r="M564" s="4">
        <v>46064</v>
      </c>
      <c r="N564" s="4"/>
      <c r="O564" t="s">
        <v>52</v>
      </c>
      <c r="P564" s="5">
        <v>0.25</v>
      </c>
      <c r="Q564" s="6">
        <v>15000</v>
      </c>
      <c r="R564" s="6">
        <v>15019.38</v>
      </c>
      <c r="S564">
        <v>3</v>
      </c>
      <c r="T564" t="str">
        <f t="shared" si="16"/>
        <v/>
      </c>
      <c r="U564">
        <f>IF(COUNTIFS($B$2:B564,B564,$F$2:F564,F564)=1,1,0)</f>
        <v>0</v>
      </c>
      <c r="V564" s="13">
        <f t="shared" si="17"/>
        <v>-19.3799999999992</v>
      </c>
    </row>
    <row r="565" spans="1:22">
      <c r="A565" t="s">
        <v>858</v>
      </c>
      <c r="B565" t="s">
        <v>141</v>
      </c>
      <c r="C565" t="s">
        <v>142</v>
      </c>
      <c r="D565" t="s">
        <v>46</v>
      </c>
      <c r="E565" t="s">
        <v>47</v>
      </c>
      <c r="F565" t="s">
        <v>75</v>
      </c>
      <c r="G565" t="s">
        <v>76</v>
      </c>
      <c r="H565" t="s">
        <v>837</v>
      </c>
      <c r="I565" t="s">
        <v>30</v>
      </c>
      <c r="J565" t="s">
        <v>30</v>
      </c>
      <c r="K565" t="s">
        <v>178</v>
      </c>
      <c r="L565" s="4">
        <v>45688</v>
      </c>
      <c r="M565" s="4">
        <v>45694</v>
      </c>
      <c r="N565" s="4"/>
      <c r="O565" t="s">
        <v>52</v>
      </c>
      <c r="P565" s="5">
        <v>0.25</v>
      </c>
      <c r="Q565" s="6">
        <v>20100</v>
      </c>
      <c r="R565" s="6">
        <v>18774.349999999999</v>
      </c>
      <c r="S565">
        <v>2</v>
      </c>
      <c r="T565" t="str">
        <f t="shared" si="16"/>
        <v/>
      </c>
      <c r="U565">
        <f>IF(COUNTIFS($B$2:B565,B565,$F$2:F565,F565)=1,1,0)</f>
        <v>0</v>
      </c>
      <c r="V565" s="13">
        <f t="shared" si="17"/>
        <v>1325.6500000000015</v>
      </c>
    </row>
    <row r="566" spans="1:22">
      <c r="A566" t="s">
        <v>859</v>
      </c>
      <c r="B566" t="s">
        <v>145</v>
      </c>
      <c r="C566" t="s">
        <v>146</v>
      </c>
      <c r="D566" t="s">
        <v>56</v>
      </c>
      <c r="E566" t="s">
        <v>57</v>
      </c>
      <c r="F566" t="s">
        <v>26</v>
      </c>
      <c r="G566" t="s">
        <v>84</v>
      </c>
      <c r="H566" t="s">
        <v>839</v>
      </c>
      <c r="I566" t="s">
        <v>69</v>
      </c>
      <c r="J566" t="s">
        <v>29</v>
      </c>
      <c r="K566" t="s">
        <v>78</v>
      </c>
      <c r="L566" s="4">
        <v>46041</v>
      </c>
      <c r="M566" s="4">
        <v>46053</v>
      </c>
      <c r="N566" s="4"/>
      <c r="O566" t="s">
        <v>52</v>
      </c>
      <c r="P566" s="5">
        <v>0.4</v>
      </c>
      <c r="Q566" s="6">
        <v>32500</v>
      </c>
      <c r="R566" s="6">
        <v>37492.68</v>
      </c>
      <c r="S566">
        <v>1</v>
      </c>
      <c r="T566" t="str">
        <f t="shared" si="16"/>
        <v/>
      </c>
      <c r="U566">
        <f>IF(COUNTIFS($B$2:B566,B566,$F$2:F566,F566)=1,1,0)</f>
        <v>0</v>
      </c>
      <c r="V566" s="13">
        <f t="shared" si="17"/>
        <v>-4992.68</v>
      </c>
    </row>
    <row r="567" spans="1:22">
      <c r="A567" t="s">
        <v>860</v>
      </c>
      <c r="B567" t="s">
        <v>148</v>
      </c>
      <c r="C567" t="s">
        <v>149</v>
      </c>
      <c r="D567" t="s">
        <v>64</v>
      </c>
      <c r="E567" t="s">
        <v>65</v>
      </c>
      <c r="F567" t="s">
        <v>38</v>
      </c>
      <c r="G567" t="s">
        <v>90</v>
      </c>
      <c r="H567" t="s">
        <v>841</v>
      </c>
      <c r="I567" t="s">
        <v>86</v>
      </c>
      <c r="J567" t="s">
        <v>29</v>
      </c>
      <c r="K567" t="s">
        <v>143</v>
      </c>
      <c r="L567" s="4">
        <v>45797</v>
      </c>
      <c r="M567" s="4">
        <v>45802</v>
      </c>
      <c r="N567" s="4">
        <v>45796</v>
      </c>
      <c r="O567" t="s">
        <v>32</v>
      </c>
      <c r="P567" s="5">
        <v>1</v>
      </c>
      <c r="Q567" s="6">
        <v>41500</v>
      </c>
      <c r="R567" s="6">
        <v>37395.57</v>
      </c>
      <c r="S567">
        <v>2</v>
      </c>
      <c r="T567">
        <f t="shared" si="16"/>
        <v>0</v>
      </c>
      <c r="U567">
        <f>IF(COUNTIFS($B$2:B567,B567,$F$2:F567,F567)=1,1,0)</f>
        <v>0</v>
      </c>
      <c r="V567" s="13">
        <f t="shared" si="17"/>
        <v>4104.43</v>
      </c>
    </row>
    <row r="568" spans="1:22">
      <c r="A568" t="s">
        <v>861</v>
      </c>
      <c r="B568" t="s">
        <v>151</v>
      </c>
      <c r="C568" t="s">
        <v>152</v>
      </c>
      <c r="D568" t="s">
        <v>73</v>
      </c>
      <c r="E568" t="s">
        <v>74</v>
      </c>
      <c r="F568" t="s">
        <v>48</v>
      </c>
      <c r="G568" t="s">
        <v>95</v>
      </c>
      <c r="H568" t="s">
        <v>843</v>
      </c>
      <c r="I568" t="s">
        <v>69</v>
      </c>
      <c r="J568" t="s">
        <v>29</v>
      </c>
      <c r="K568" t="s">
        <v>143</v>
      </c>
      <c r="L568" s="4">
        <v>46088</v>
      </c>
      <c r="M568" s="4">
        <v>46098</v>
      </c>
      <c r="N568" s="4"/>
      <c r="O568" t="s">
        <v>42</v>
      </c>
      <c r="P568" s="5">
        <v>0</v>
      </c>
      <c r="Q568" s="6">
        <v>40500</v>
      </c>
      <c r="R568" s="6">
        <v>0</v>
      </c>
      <c r="S568">
        <v>3</v>
      </c>
      <c r="T568" t="str">
        <f t="shared" si="16"/>
        <v/>
      </c>
      <c r="U568">
        <f>IF(COUNTIFS($B$2:B568,B568,$F$2:F568,F568)=1,1,0)</f>
        <v>0</v>
      </c>
      <c r="V568" s="13">
        <f t="shared" si="17"/>
        <v>40500</v>
      </c>
    </row>
    <row r="569" spans="1:22">
      <c r="A569" t="s">
        <v>862</v>
      </c>
      <c r="B569" t="s">
        <v>154</v>
      </c>
      <c r="C569" t="s">
        <v>155</v>
      </c>
      <c r="D569" t="s">
        <v>82</v>
      </c>
      <c r="E569" t="s">
        <v>83</v>
      </c>
      <c r="F569" t="s">
        <v>58</v>
      </c>
      <c r="G569" t="s">
        <v>27</v>
      </c>
      <c r="H569" t="s">
        <v>827</v>
      </c>
      <c r="I569" t="s">
        <v>29</v>
      </c>
      <c r="J569" t="s">
        <v>69</v>
      </c>
      <c r="K569" t="s">
        <v>31</v>
      </c>
      <c r="L569" s="4">
        <v>46078</v>
      </c>
      <c r="M569" s="4">
        <v>46095</v>
      </c>
      <c r="N569" s="4">
        <v>46100</v>
      </c>
      <c r="O569" t="s">
        <v>32</v>
      </c>
      <c r="P569" s="5">
        <v>1</v>
      </c>
      <c r="Q569" s="6">
        <v>22300</v>
      </c>
      <c r="R569" s="6">
        <v>24340.36</v>
      </c>
      <c r="S569">
        <v>4</v>
      </c>
      <c r="T569">
        <f t="shared" si="16"/>
        <v>5</v>
      </c>
      <c r="U569">
        <f>IF(COUNTIFS($B$2:B569,B569,$F$2:F569,F569)=1,1,0)</f>
        <v>0</v>
      </c>
      <c r="V569" s="13">
        <f t="shared" si="17"/>
        <v>-2040.3600000000006</v>
      </c>
    </row>
    <row r="570" spans="1:22">
      <c r="A570" t="s">
        <v>863</v>
      </c>
      <c r="B570" t="s">
        <v>157</v>
      </c>
      <c r="C570" t="s">
        <v>158</v>
      </c>
      <c r="D570" t="s">
        <v>24</v>
      </c>
      <c r="E570" t="s">
        <v>25</v>
      </c>
      <c r="F570" t="s">
        <v>66</v>
      </c>
      <c r="G570" t="s">
        <v>39</v>
      </c>
      <c r="H570" t="s">
        <v>829</v>
      </c>
      <c r="I570" t="s">
        <v>29</v>
      </c>
      <c r="J570" t="s">
        <v>29</v>
      </c>
      <c r="K570" t="s">
        <v>143</v>
      </c>
      <c r="L570" s="4">
        <v>46125</v>
      </c>
      <c r="M570" s="4">
        <v>46154</v>
      </c>
      <c r="N570" s="4">
        <v>46151</v>
      </c>
      <c r="O570" t="s">
        <v>32</v>
      </c>
      <c r="P570" s="5">
        <v>1</v>
      </c>
      <c r="Q570" s="6">
        <v>6200</v>
      </c>
      <c r="R570" s="6">
        <v>6078.51</v>
      </c>
      <c r="S570">
        <v>2</v>
      </c>
      <c r="T570">
        <f t="shared" si="16"/>
        <v>0</v>
      </c>
      <c r="U570">
        <f>IF(COUNTIFS($B$2:B570,B570,$F$2:F570,F570)=1,1,0)</f>
        <v>0</v>
      </c>
      <c r="V570" s="13">
        <f t="shared" si="17"/>
        <v>121.48999999999978</v>
      </c>
    </row>
    <row r="571" spans="1:22">
      <c r="A571" t="s">
        <v>864</v>
      </c>
      <c r="B571" t="s">
        <v>160</v>
      </c>
      <c r="C571" t="s">
        <v>161</v>
      </c>
      <c r="D571" t="s">
        <v>36</v>
      </c>
      <c r="E571" t="s">
        <v>37</v>
      </c>
      <c r="F571" t="s">
        <v>75</v>
      </c>
      <c r="G571" t="s">
        <v>59</v>
      </c>
      <c r="H571" t="s">
        <v>833</v>
      </c>
      <c r="I571" t="s">
        <v>29</v>
      </c>
      <c r="J571" t="s">
        <v>30</v>
      </c>
      <c r="K571" t="s">
        <v>51</v>
      </c>
      <c r="L571" s="4">
        <v>46003</v>
      </c>
      <c r="M571" s="4">
        <v>46025</v>
      </c>
      <c r="N571" s="4"/>
      <c r="O571" t="s">
        <v>52</v>
      </c>
      <c r="P571" s="5">
        <v>0.4</v>
      </c>
      <c r="Q571" s="6">
        <v>43900</v>
      </c>
      <c r="R571" s="6">
        <v>41493.360000000001</v>
      </c>
      <c r="S571">
        <v>2</v>
      </c>
      <c r="T571" t="str">
        <f t="shared" si="16"/>
        <v/>
      </c>
      <c r="U571">
        <f>IF(COUNTIFS($B$2:B571,B571,$F$2:F571,F571)=1,1,0)</f>
        <v>0</v>
      </c>
      <c r="V571" s="13">
        <f t="shared" si="17"/>
        <v>2406.6399999999994</v>
      </c>
    </row>
    <row r="572" spans="1:22">
      <c r="A572" t="s">
        <v>865</v>
      </c>
      <c r="B572" t="s">
        <v>22</v>
      </c>
      <c r="C572" t="s">
        <v>23</v>
      </c>
      <c r="D572" t="s">
        <v>24</v>
      </c>
      <c r="E572" t="s">
        <v>25</v>
      </c>
      <c r="F572" t="s">
        <v>26</v>
      </c>
      <c r="G572" t="s">
        <v>67</v>
      </c>
      <c r="H572" t="s">
        <v>866</v>
      </c>
      <c r="I572" t="s">
        <v>69</v>
      </c>
      <c r="J572" t="s">
        <v>29</v>
      </c>
      <c r="K572" t="s">
        <v>78</v>
      </c>
      <c r="L572" s="4">
        <v>46101</v>
      </c>
      <c r="M572" s="4">
        <v>46122</v>
      </c>
      <c r="N572" s="4">
        <v>46119</v>
      </c>
      <c r="O572" t="s">
        <v>32</v>
      </c>
      <c r="P572" s="5">
        <v>1</v>
      </c>
      <c r="Q572" s="6">
        <v>30300</v>
      </c>
      <c r="R572" s="6">
        <v>30230.44</v>
      </c>
      <c r="S572">
        <v>4</v>
      </c>
      <c r="T572">
        <f t="shared" si="16"/>
        <v>0</v>
      </c>
      <c r="U572">
        <f>IF(COUNTIFS($B$2:B572,B572,$F$2:F572,F572)=1,1,0)</f>
        <v>0</v>
      </c>
      <c r="V572" s="13">
        <f t="shared" si="17"/>
        <v>69.56000000000131</v>
      </c>
    </row>
    <row r="573" spans="1:22">
      <c r="A573" t="s">
        <v>867</v>
      </c>
      <c r="B573" t="s">
        <v>34</v>
      </c>
      <c r="C573" t="s">
        <v>35</v>
      </c>
      <c r="D573" t="s">
        <v>36</v>
      </c>
      <c r="E573" t="s">
        <v>37</v>
      </c>
      <c r="F573" t="s">
        <v>38</v>
      </c>
      <c r="G573" t="s">
        <v>76</v>
      </c>
      <c r="H573" t="s">
        <v>868</v>
      </c>
      <c r="I573" t="s">
        <v>69</v>
      </c>
      <c r="J573" t="s">
        <v>30</v>
      </c>
      <c r="K573" t="s">
        <v>51</v>
      </c>
      <c r="L573" s="4">
        <v>45838</v>
      </c>
      <c r="M573" s="4">
        <v>45851</v>
      </c>
      <c r="N573" s="4">
        <v>45861</v>
      </c>
      <c r="O573" t="s">
        <v>32</v>
      </c>
      <c r="P573" s="5">
        <v>1</v>
      </c>
      <c r="Q573" s="6">
        <v>37300</v>
      </c>
      <c r="R573" s="6">
        <v>42632.27</v>
      </c>
      <c r="S573">
        <v>4</v>
      </c>
      <c r="T573">
        <f t="shared" si="16"/>
        <v>10</v>
      </c>
      <c r="U573">
        <f>IF(COUNTIFS($B$2:B573,B573,$F$2:F573,F573)=1,1,0)</f>
        <v>0</v>
      </c>
      <c r="V573" s="13">
        <f t="shared" si="17"/>
        <v>-5332.2699999999968</v>
      </c>
    </row>
    <row r="574" spans="1:22">
      <c r="A574" t="s">
        <v>869</v>
      </c>
      <c r="B574" t="s">
        <v>44</v>
      </c>
      <c r="C574" t="s">
        <v>45</v>
      </c>
      <c r="D574" t="s">
        <v>46</v>
      </c>
      <c r="E574" t="s">
        <v>47</v>
      </c>
      <c r="F574" t="s">
        <v>48</v>
      </c>
      <c r="G574" t="s">
        <v>84</v>
      </c>
      <c r="H574" t="s">
        <v>870</v>
      </c>
      <c r="I574" t="s">
        <v>30</v>
      </c>
      <c r="J574" t="s">
        <v>30</v>
      </c>
      <c r="K574" t="s">
        <v>41</v>
      </c>
      <c r="L574" s="4">
        <v>45772</v>
      </c>
      <c r="M574" s="4">
        <v>45785</v>
      </c>
      <c r="N574" s="4">
        <v>45785</v>
      </c>
      <c r="O574" t="s">
        <v>32</v>
      </c>
      <c r="P574" s="5">
        <v>1</v>
      </c>
      <c r="Q574" s="6">
        <v>37000</v>
      </c>
      <c r="R574" s="6">
        <v>36241.93</v>
      </c>
      <c r="S574">
        <v>3</v>
      </c>
      <c r="T574">
        <f t="shared" si="16"/>
        <v>0</v>
      </c>
      <c r="U574">
        <f>IF(COUNTIFS($B$2:B574,B574,$F$2:F574,F574)=1,1,0)</f>
        <v>0</v>
      </c>
      <c r="V574" s="13">
        <f t="shared" si="17"/>
        <v>758.06999999999971</v>
      </c>
    </row>
    <row r="575" spans="1:22">
      <c r="A575" t="s">
        <v>871</v>
      </c>
      <c r="B575" t="s">
        <v>54</v>
      </c>
      <c r="C575" t="s">
        <v>55</v>
      </c>
      <c r="D575" t="s">
        <v>56</v>
      </c>
      <c r="E575" t="s">
        <v>57</v>
      </c>
      <c r="F575" t="s">
        <v>58</v>
      </c>
      <c r="G575" t="s">
        <v>90</v>
      </c>
      <c r="H575" t="s">
        <v>872</v>
      </c>
      <c r="I575" t="s">
        <v>69</v>
      </c>
      <c r="J575" t="s">
        <v>30</v>
      </c>
      <c r="K575" t="s">
        <v>31</v>
      </c>
      <c r="L575" s="4">
        <v>46080</v>
      </c>
      <c r="M575" s="4">
        <v>46097</v>
      </c>
      <c r="N575" s="4">
        <v>46089</v>
      </c>
      <c r="O575" t="s">
        <v>32</v>
      </c>
      <c r="P575" s="5">
        <v>1</v>
      </c>
      <c r="Q575" s="6">
        <v>18500</v>
      </c>
      <c r="R575" s="6">
        <v>17684.88</v>
      </c>
      <c r="S575">
        <v>1</v>
      </c>
      <c r="T575">
        <f t="shared" si="16"/>
        <v>0</v>
      </c>
      <c r="U575">
        <f>IF(COUNTIFS($B$2:B575,B575,$F$2:F575,F575)=1,1,0)</f>
        <v>0</v>
      </c>
      <c r="V575" s="13">
        <f t="shared" si="17"/>
        <v>815.11999999999898</v>
      </c>
    </row>
    <row r="576" spans="1:22">
      <c r="A576" t="s">
        <v>873</v>
      </c>
      <c r="B576" t="s">
        <v>62</v>
      </c>
      <c r="C576" t="s">
        <v>63</v>
      </c>
      <c r="D576" t="s">
        <v>64</v>
      </c>
      <c r="E576" t="s">
        <v>65</v>
      </c>
      <c r="F576" t="s">
        <v>66</v>
      </c>
      <c r="G576" t="s">
        <v>95</v>
      </c>
      <c r="H576" t="s">
        <v>874</v>
      </c>
      <c r="I576" t="s">
        <v>69</v>
      </c>
      <c r="J576" t="s">
        <v>30</v>
      </c>
      <c r="K576" t="s">
        <v>51</v>
      </c>
      <c r="L576" s="4">
        <v>45880</v>
      </c>
      <c r="M576" s="4">
        <v>45896</v>
      </c>
      <c r="N576" s="4">
        <v>45916</v>
      </c>
      <c r="O576" t="s">
        <v>32</v>
      </c>
      <c r="P576" s="5">
        <v>1</v>
      </c>
      <c r="Q576" s="6">
        <v>26800</v>
      </c>
      <c r="R576" s="6">
        <v>22772.97</v>
      </c>
      <c r="S576">
        <v>0</v>
      </c>
      <c r="T576">
        <f t="shared" si="16"/>
        <v>20</v>
      </c>
      <c r="U576">
        <f>IF(COUNTIFS($B$2:B576,B576,$F$2:F576,F576)=1,1,0)</f>
        <v>0</v>
      </c>
      <c r="V576" s="13">
        <f t="shared" si="17"/>
        <v>4027.0299999999988</v>
      </c>
    </row>
    <row r="577" spans="1:22">
      <c r="A577" t="s">
        <v>875</v>
      </c>
      <c r="B577" t="s">
        <v>71</v>
      </c>
      <c r="C577" t="s">
        <v>72</v>
      </c>
      <c r="D577" t="s">
        <v>73</v>
      </c>
      <c r="E577" t="s">
        <v>74</v>
      </c>
      <c r="F577" t="s">
        <v>75</v>
      </c>
      <c r="G577" t="s">
        <v>27</v>
      </c>
      <c r="H577" t="s">
        <v>876</v>
      </c>
      <c r="I577" t="s">
        <v>69</v>
      </c>
      <c r="J577" t="s">
        <v>69</v>
      </c>
      <c r="K577" t="s">
        <v>31</v>
      </c>
      <c r="L577" s="4">
        <v>45928</v>
      </c>
      <c r="M577" s="4">
        <v>45932</v>
      </c>
      <c r="N577" s="4"/>
      <c r="O577" t="s">
        <v>32</v>
      </c>
      <c r="P577" s="5">
        <v>0</v>
      </c>
      <c r="Q577" s="6">
        <v>25900</v>
      </c>
      <c r="R577" s="6">
        <v>0</v>
      </c>
      <c r="S577">
        <v>4</v>
      </c>
      <c r="T577" t="str">
        <f t="shared" si="16"/>
        <v/>
      </c>
      <c r="U577">
        <f>IF(COUNTIFS($B$2:B577,B577,$F$2:F577,F577)=1,1,0)</f>
        <v>0</v>
      </c>
      <c r="V577" s="13">
        <f t="shared" si="17"/>
        <v>25900</v>
      </c>
    </row>
    <row r="578" spans="1:22">
      <c r="A578" t="s">
        <v>877</v>
      </c>
      <c r="B578" t="s">
        <v>80</v>
      </c>
      <c r="C578" t="s">
        <v>81</v>
      </c>
      <c r="D578" t="s">
        <v>82</v>
      </c>
      <c r="E578" t="s">
        <v>83</v>
      </c>
      <c r="F578" t="s">
        <v>26</v>
      </c>
      <c r="G578" t="s">
        <v>39</v>
      </c>
      <c r="H578" t="s">
        <v>878</v>
      </c>
      <c r="I578" t="s">
        <v>29</v>
      </c>
      <c r="J578" t="s">
        <v>30</v>
      </c>
      <c r="K578" t="s">
        <v>31</v>
      </c>
      <c r="L578" s="4">
        <v>45877</v>
      </c>
      <c r="M578" s="4">
        <v>45900</v>
      </c>
      <c r="N578" s="4"/>
      <c r="O578" t="s">
        <v>32</v>
      </c>
      <c r="P578" s="5">
        <v>0.6</v>
      </c>
      <c r="Q578" s="6">
        <v>19200</v>
      </c>
      <c r="R578" s="6">
        <v>19448.12</v>
      </c>
      <c r="S578">
        <v>0</v>
      </c>
      <c r="T578" t="str">
        <f t="shared" ref="T578:T641" si="18">IF(N578="","",MAX(0,N578-M578))</f>
        <v/>
      </c>
      <c r="U578">
        <f>IF(COUNTIFS($B$2:B578,B578,$F$2:F578,F578)=1,1,0)</f>
        <v>0</v>
      </c>
      <c r="V578" s="13">
        <f t="shared" ref="V578:V641" si="19">Q578-R578</f>
        <v>-248.11999999999898</v>
      </c>
    </row>
    <row r="579" spans="1:22">
      <c r="A579" t="s">
        <v>879</v>
      </c>
      <c r="B579" t="s">
        <v>88</v>
      </c>
      <c r="C579" t="s">
        <v>89</v>
      </c>
      <c r="D579" t="s">
        <v>24</v>
      </c>
      <c r="E579" t="s">
        <v>25</v>
      </c>
      <c r="F579" t="s">
        <v>38</v>
      </c>
      <c r="G579" t="s">
        <v>49</v>
      </c>
      <c r="H579" t="s">
        <v>880</v>
      </c>
      <c r="I579" t="s">
        <v>29</v>
      </c>
      <c r="J579" t="s">
        <v>30</v>
      </c>
      <c r="K579" t="s">
        <v>143</v>
      </c>
      <c r="L579" s="4">
        <v>45826</v>
      </c>
      <c r="M579" s="4">
        <v>45855</v>
      </c>
      <c r="N579" s="4"/>
      <c r="O579" t="s">
        <v>32</v>
      </c>
      <c r="P579" s="5">
        <v>0.5</v>
      </c>
      <c r="Q579" s="6">
        <v>44900</v>
      </c>
      <c r="R579" s="6">
        <v>47145.48</v>
      </c>
      <c r="S579">
        <v>1</v>
      </c>
      <c r="T579" t="str">
        <f t="shared" si="18"/>
        <v/>
      </c>
      <c r="U579">
        <f>IF(COUNTIFS($B$2:B579,B579,$F$2:F579,F579)=1,1,0)</f>
        <v>0</v>
      </c>
      <c r="V579" s="13">
        <f t="shared" si="19"/>
        <v>-2245.4800000000032</v>
      </c>
    </row>
    <row r="580" spans="1:22">
      <c r="A580" t="s">
        <v>881</v>
      </c>
      <c r="B580" t="s">
        <v>93</v>
      </c>
      <c r="C580" t="s">
        <v>94</v>
      </c>
      <c r="D580" t="s">
        <v>36</v>
      </c>
      <c r="E580" t="s">
        <v>37</v>
      </c>
      <c r="F580" t="s">
        <v>48</v>
      </c>
      <c r="G580" t="s">
        <v>59</v>
      </c>
      <c r="H580" t="s">
        <v>882</v>
      </c>
      <c r="I580" t="s">
        <v>30</v>
      </c>
      <c r="J580" t="s">
        <v>30</v>
      </c>
      <c r="K580" t="s">
        <v>78</v>
      </c>
      <c r="L580" s="4">
        <v>46164</v>
      </c>
      <c r="M580" s="4">
        <v>46188</v>
      </c>
      <c r="N580" s="4"/>
      <c r="O580" t="s">
        <v>52</v>
      </c>
      <c r="P580" s="5">
        <v>0.4</v>
      </c>
      <c r="Q580" s="6">
        <v>5200</v>
      </c>
      <c r="R580" s="6">
        <v>5034.76</v>
      </c>
      <c r="S580">
        <v>0</v>
      </c>
      <c r="T580" t="str">
        <f t="shared" si="18"/>
        <v/>
      </c>
      <c r="U580">
        <f>IF(COUNTIFS($B$2:B580,B580,$F$2:F580,F580)=1,1,0)</f>
        <v>0</v>
      </c>
      <c r="V580" s="13">
        <f t="shared" si="19"/>
        <v>165.23999999999978</v>
      </c>
    </row>
    <row r="581" spans="1:22">
      <c r="A581" t="s">
        <v>883</v>
      </c>
      <c r="B581" t="s">
        <v>98</v>
      </c>
      <c r="C581" t="s">
        <v>99</v>
      </c>
      <c r="D581" t="s">
        <v>46</v>
      </c>
      <c r="E581" t="s">
        <v>47</v>
      </c>
      <c r="F581" t="s">
        <v>58</v>
      </c>
      <c r="G581" t="s">
        <v>67</v>
      </c>
      <c r="H581" t="s">
        <v>866</v>
      </c>
      <c r="I581" t="s">
        <v>29</v>
      </c>
      <c r="J581" t="s">
        <v>29</v>
      </c>
      <c r="K581" t="s">
        <v>51</v>
      </c>
      <c r="L581" s="4">
        <v>45823</v>
      </c>
      <c r="M581" s="4">
        <v>45845</v>
      </c>
      <c r="N581" s="4"/>
      <c r="O581" t="s">
        <v>42</v>
      </c>
      <c r="P581" s="5">
        <v>0</v>
      </c>
      <c r="Q581" s="6">
        <v>23700</v>
      </c>
      <c r="R581" s="6">
        <v>0</v>
      </c>
      <c r="S581">
        <v>0</v>
      </c>
      <c r="T581" t="str">
        <f t="shared" si="18"/>
        <v/>
      </c>
      <c r="U581">
        <f>IF(COUNTIFS($B$2:B581,B581,$F$2:F581,F581)=1,1,0)</f>
        <v>0</v>
      </c>
      <c r="V581" s="13">
        <f t="shared" si="19"/>
        <v>23700</v>
      </c>
    </row>
    <row r="582" spans="1:22">
      <c r="A582" t="s">
        <v>884</v>
      </c>
      <c r="B582" t="s">
        <v>101</v>
      </c>
      <c r="C582" t="s">
        <v>102</v>
      </c>
      <c r="D582" t="s">
        <v>56</v>
      </c>
      <c r="E582" t="s">
        <v>57</v>
      </c>
      <c r="F582" t="s">
        <v>66</v>
      </c>
      <c r="G582" t="s">
        <v>76</v>
      </c>
      <c r="H582" t="s">
        <v>868</v>
      </c>
      <c r="I582" t="s">
        <v>29</v>
      </c>
      <c r="J582" t="s">
        <v>30</v>
      </c>
      <c r="K582" t="s">
        <v>51</v>
      </c>
      <c r="L582" s="4">
        <v>46156</v>
      </c>
      <c r="M582" s="4">
        <v>46174</v>
      </c>
      <c r="N582" s="4">
        <v>46174</v>
      </c>
      <c r="O582" t="s">
        <v>32</v>
      </c>
      <c r="P582" s="5">
        <v>1</v>
      </c>
      <c r="Q582" s="6">
        <v>11800</v>
      </c>
      <c r="R582" s="6">
        <v>10700.9</v>
      </c>
      <c r="S582">
        <v>1</v>
      </c>
      <c r="T582">
        <f t="shared" si="18"/>
        <v>0</v>
      </c>
      <c r="U582">
        <f>IF(COUNTIFS($B$2:B582,B582,$F$2:F582,F582)=1,1,0)</f>
        <v>0</v>
      </c>
      <c r="V582" s="13">
        <f t="shared" si="19"/>
        <v>1099.1000000000004</v>
      </c>
    </row>
    <row r="583" spans="1:22">
      <c r="A583" t="s">
        <v>885</v>
      </c>
      <c r="B583" t="s">
        <v>104</v>
      </c>
      <c r="C583" t="s">
        <v>105</v>
      </c>
      <c r="D583" t="s">
        <v>64</v>
      </c>
      <c r="E583" t="s">
        <v>65</v>
      </c>
      <c r="F583" t="s">
        <v>75</v>
      </c>
      <c r="G583" t="s">
        <v>84</v>
      </c>
      <c r="H583" t="s">
        <v>870</v>
      </c>
      <c r="I583" t="s">
        <v>29</v>
      </c>
      <c r="J583" t="s">
        <v>30</v>
      </c>
      <c r="K583" t="s">
        <v>178</v>
      </c>
      <c r="L583" s="4">
        <v>46187</v>
      </c>
      <c r="M583" s="4">
        <v>46205</v>
      </c>
      <c r="N583" s="4">
        <v>46213</v>
      </c>
      <c r="O583" t="s">
        <v>32</v>
      </c>
      <c r="P583" s="5">
        <v>1</v>
      </c>
      <c r="Q583" s="6">
        <v>31500</v>
      </c>
      <c r="R583" s="6">
        <v>34721.9</v>
      </c>
      <c r="S583">
        <v>3</v>
      </c>
      <c r="T583">
        <f t="shared" si="18"/>
        <v>8</v>
      </c>
      <c r="U583">
        <f>IF(COUNTIFS($B$2:B583,B583,$F$2:F583,F583)=1,1,0)</f>
        <v>0</v>
      </c>
      <c r="V583" s="13">
        <f t="shared" si="19"/>
        <v>-3221.9000000000015</v>
      </c>
    </row>
    <row r="584" spans="1:22">
      <c r="A584" t="s">
        <v>886</v>
      </c>
      <c r="B584" t="s">
        <v>107</v>
      </c>
      <c r="C584" t="s">
        <v>108</v>
      </c>
      <c r="D584" t="s">
        <v>73</v>
      </c>
      <c r="E584" t="s">
        <v>74</v>
      </c>
      <c r="F584" t="s">
        <v>26</v>
      </c>
      <c r="G584" t="s">
        <v>90</v>
      </c>
      <c r="H584" t="s">
        <v>872</v>
      </c>
      <c r="I584" t="s">
        <v>86</v>
      </c>
      <c r="J584" t="s">
        <v>69</v>
      </c>
      <c r="K584" t="s">
        <v>78</v>
      </c>
      <c r="L584" s="4">
        <v>46061</v>
      </c>
      <c r="M584" s="4">
        <v>46080</v>
      </c>
      <c r="N584" s="4"/>
      <c r="O584" t="s">
        <v>42</v>
      </c>
      <c r="P584" s="5">
        <v>0</v>
      </c>
      <c r="Q584" s="6">
        <v>40200</v>
      </c>
      <c r="R584" s="6">
        <v>0</v>
      </c>
      <c r="S584">
        <v>4</v>
      </c>
      <c r="T584" t="str">
        <f t="shared" si="18"/>
        <v/>
      </c>
      <c r="U584">
        <f>IF(COUNTIFS($B$2:B584,B584,$F$2:F584,F584)=1,1,0)</f>
        <v>0</v>
      </c>
      <c r="V584" s="13">
        <f t="shared" si="19"/>
        <v>40200</v>
      </c>
    </row>
    <row r="585" spans="1:22">
      <c r="A585" t="s">
        <v>887</v>
      </c>
      <c r="B585" t="s">
        <v>111</v>
      </c>
      <c r="C585" t="s">
        <v>112</v>
      </c>
      <c r="D585" t="s">
        <v>82</v>
      </c>
      <c r="E585" t="s">
        <v>83</v>
      </c>
      <c r="F585" t="s">
        <v>38</v>
      </c>
      <c r="G585" t="s">
        <v>95</v>
      </c>
      <c r="H585" t="s">
        <v>874</v>
      </c>
      <c r="I585" t="s">
        <v>69</v>
      </c>
      <c r="J585" t="s">
        <v>69</v>
      </c>
      <c r="K585" t="s">
        <v>31</v>
      </c>
      <c r="L585" s="4">
        <v>45845</v>
      </c>
      <c r="M585" s="4">
        <v>45873</v>
      </c>
      <c r="N585" s="4">
        <v>45879</v>
      </c>
      <c r="O585" t="s">
        <v>32</v>
      </c>
      <c r="P585" s="5">
        <v>1</v>
      </c>
      <c r="Q585" s="6">
        <v>28200</v>
      </c>
      <c r="R585" s="6">
        <v>33329.81</v>
      </c>
      <c r="S585">
        <v>2</v>
      </c>
      <c r="T585">
        <f t="shared" si="18"/>
        <v>6</v>
      </c>
      <c r="U585">
        <f>IF(COUNTIFS($B$2:B585,B585,$F$2:F585,F585)=1,1,0)</f>
        <v>0</v>
      </c>
      <c r="V585" s="13">
        <f t="shared" si="19"/>
        <v>-5129.8099999999977</v>
      </c>
    </row>
    <row r="586" spans="1:22">
      <c r="A586" t="s">
        <v>888</v>
      </c>
      <c r="B586" t="s">
        <v>114</v>
      </c>
      <c r="C586" t="s">
        <v>115</v>
      </c>
      <c r="D586" t="s">
        <v>24</v>
      </c>
      <c r="E586" t="s">
        <v>25</v>
      </c>
      <c r="F586" t="s">
        <v>48</v>
      </c>
      <c r="G586" t="s">
        <v>27</v>
      </c>
      <c r="H586" t="s">
        <v>876</v>
      </c>
      <c r="I586" t="s">
        <v>30</v>
      </c>
      <c r="J586" t="s">
        <v>30</v>
      </c>
      <c r="K586" t="s">
        <v>178</v>
      </c>
      <c r="L586" s="4">
        <v>46111</v>
      </c>
      <c r="M586" s="4">
        <v>46137</v>
      </c>
      <c r="N586" s="4"/>
      <c r="O586" t="s">
        <v>52</v>
      </c>
      <c r="P586" s="5">
        <v>0.5</v>
      </c>
      <c r="Q586" s="6">
        <v>43300</v>
      </c>
      <c r="R586" s="6">
        <v>45340.31</v>
      </c>
      <c r="S586">
        <v>0</v>
      </c>
      <c r="T586" t="str">
        <f t="shared" si="18"/>
        <v/>
      </c>
      <c r="U586">
        <f>IF(COUNTIFS($B$2:B586,B586,$F$2:F586,F586)=1,1,0)</f>
        <v>0</v>
      </c>
      <c r="V586" s="13">
        <f t="shared" si="19"/>
        <v>-2040.3099999999977</v>
      </c>
    </row>
    <row r="587" spans="1:22">
      <c r="A587" t="s">
        <v>889</v>
      </c>
      <c r="B587" t="s">
        <v>117</v>
      </c>
      <c r="C587" t="s">
        <v>118</v>
      </c>
      <c r="D587" t="s">
        <v>36</v>
      </c>
      <c r="E587" t="s">
        <v>37</v>
      </c>
      <c r="F587" t="s">
        <v>58</v>
      </c>
      <c r="G587" t="s">
        <v>39</v>
      </c>
      <c r="H587" t="s">
        <v>878</v>
      </c>
      <c r="I587" t="s">
        <v>30</v>
      </c>
      <c r="J587" t="s">
        <v>69</v>
      </c>
      <c r="K587" t="s">
        <v>78</v>
      </c>
      <c r="L587" s="4">
        <v>46023</v>
      </c>
      <c r="M587" s="4">
        <v>46034</v>
      </c>
      <c r="N587" s="4"/>
      <c r="O587" t="s">
        <v>42</v>
      </c>
      <c r="P587" s="5">
        <v>0</v>
      </c>
      <c r="Q587" s="6">
        <v>22100</v>
      </c>
      <c r="R587" s="6">
        <v>0</v>
      </c>
      <c r="S587">
        <v>3</v>
      </c>
      <c r="T587" t="str">
        <f t="shared" si="18"/>
        <v/>
      </c>
      <c r="U587">
        <f>IF(COUNTIFS($B$2:B587,B587,$F$2:F587,F587)=1,1,0)</f>
        <v>0</v>
      </c>
      <c r="V587" s="13">
        <f t="shared" si="19"/>
        <v>22100</v>
      </c>
    </row>
    <row r="588" spans="1:22">
      <c r="A588" t="s">
        <v>890</v>
      </c>
      <c r="B588" t="s">
        <v>120</v>
      </c>
      <c r="C588" t="s">
        <v>121</v>
      </c>
      <c r="D588" t="s">
        <v>46</v>
      </c>
      <c r="E588" t="s">
        <v>47</v>
      </c>
      <c r="F588" t="s">
        <v>66</v>
      </c>
      <c r="G588" t="s">
        <v>49</v>
      </c>
      <c r="H588" t="s">
        <v>880</v>
      </c>
      <c r="I588" t="s">
        <v>86</v>
      </c>
      <c r="J588" t="s">
        <v>29</v>
      </c>
      <c r="K588" t="s">
        <v>51</v>
      </c>
      <c r="L588" s="4">
        <v>45752</v>
      </c>
      <c r="M588" s="4">
        <v>45770</v>
      </c>
      <c r="N588" s="4"/>
      <c r="O588" t="s">
        <v>42</v>
      </c>
      <c r="P588" s="5">
        <v>0</v>
      </c>
      <c r="Q588" s="6">
        <v>23500</v>
      </c>
      <c r="R588" s="6">
        <v>0</v>
      </c>
      <c r="S588">
        <v>1</v>
      </c>
      <c r="T588" t="str">
        <f t="shared" si="18"/>
        <v/>
      </c>
      <c r="U588">
        <f>IF(COUNTIFS($B$2:B588,B588,$F$2:F588,F588)=1,1,0)</f>
        <v>0</v>
      </c>
      <c r="V588" s="13">
        <f t="shared" si="19"/>
        <v>23500</v>
      </c>
    </row>
    <row r="589" spans="1:22">
      <c r="A589" t="s">
        <v>891</v>
      </c>
      <c r="B589" t="s">
        <v>123</v>
      </c>
      <c r="C589" t="s">
        <v>124</v>
      </c>
      <c r="D589" t="s">
        <v>56</v>
      </c>
      <c r="E589" t="s">
        <v>57</v>
      </c>
      <c r="F589" t="s">
        <v>75</v>
      </c>
      <c r="G589" t="s">
        <v>59</v>
      </c>
      <c r="H589" t="s">
        <v>882</v>
      </c>
      <c r="I589" t="s">
        <v>29</v>
      </c>
      <c r="J589" t="s">
        <v>30</v>
      </c>
      <c r="K589" t="s">
        <v>41</v>
      </c>
      <c r="L589" s="4">
        <v>45681</v>
      </c>
      <c r="M589" s="4">
        <v>45707</v>
      </c>
      <c r="N589" s="4"/>
      <c r="O589" t="s">
        <v>42</v>
      </c>
      <c r="P589" s="5">
        <v>0</v>
      </c>
      <c r="Q589" s="6">
        <v>9100</v>
      </c>
      <c r="R589" s="6">
        <v>0</v>
      </c>
      <c r="S589">
        <v>1</v>
      </c>
      <c r="T589" t="str">
        <f t="shared" si="18"/>
        <v/>
      </c>
      <c r="U589">
        <f>IF(COUNTIFS($B$2:B589,B589,$F$2:F589,F589)=1,1,0)</f>
        <v>0</v>
      </c>
      <c r="V589" s="13">
        <f t="shared" si="19"/>
        <v>9100</v>
      </c>
    </row>
    <row r="590" spans="1:22">
      <c r="A590" t="s">
        <v>892</v>
      </c>
      <c r="B590" t="s">
        <v>126</v>
      </c>
      <c r="C590" t="s">
        <v>127</v>
      </c>
      <c r="D590" t="s">
        <v>64</v>
      </c>
      <c r="E590" t="s">
        <v>65</v>
      </c>
      <c r="F590" t="s">
        <v>26</v>
      </c>
      <c r="G590" t="s">
        <v>67</v>
      </c>
      <c r="H590" t="s">
        <v>866</v>
      </c>
      <c r="I590" t="s">
        <v>29</v>
      </c>
      <c r="J590" t="s">
        <v>29</v>
      </c>
      <c r="K590" t="s">
        <v>31</v>
      </c>
      <c r="L590" s="4">
        <v>45770</v>
      </c>
      <c r="M590" s="4">
        <v>45788</v>
      </c>
      <c r="N590" s="4"/>
      <c r="O590" t="s">
        <v>52</v>
      </c>
      <c r="P590" s="5">
        <v>0.75</v>
      </c>
      <c r="Q590" s="6">
        <v>39000</v>
      </c>
      <c r="R590" s="6">
        <v>38787.61</v>
      </c>
      <c r="S590">
        <v>2</v>
      </c>
      <c r="T590" t="str">
        <f t="shared" si="18"/>
        <v/>
      </c>
      <c r="U590">
        <f>IF(COUNTIFS($B$2:B590,B590,$F$2:F590,F590)=1,1,0)</f>
        <v>0</v>
      </c>
      <c r="V590" s="13">
        <f t="shared" si="19"/>
        <v>212.38999999999942</v>
      </c>
    </row>
    <row r="591" spans="1:22">
      <c r="A591" t="s">
        <v>893</v>
      </c>
      <c r="B591" t="s">
        <v>129</v>
      </c>
      <c r="C591" t="s">
        <v>130</v>
      </c>
      <c r="D591" t="s">
        <v>73</v>
      </c>
      <c r="E591" t="s">
        <v>74</v>
      </c>
      <c r="F591" t="s">
        <v>38</v>
      </c>
      <c r="G591" t="s">
        <v>76</v>
      </c>
      <c r="H591" t="s">
        <v>868</v>
      </c>
      <c r="I591" t="s">
        <v>29</v>
      </c>
      <c r="J591" t="s">
        <v>69</v>
      </c>
      <c r="K591" t="s">
        <v>31</v>
      </c>
      <c r="L591" s="4">
        <v>45900</v>
      </c>
      <c r="M591" s="4">
        <v>45927</v>
      </c>
      <c r="N591" s="4"/>
      <c r="O591" t="s">
        <v>109</v>
      </c>
      <c r="P591" s="5">
        <v>0.5</v>
      </c>
      <c r="Q591" s="6">
        <v>11900</v>
      </c>
      <c r="R591" s="6">
        <v>10998.19</v>
      </c>
      <c r="S591">
        <v>4</v>
      </c>
      <c r="T591" t="str">
        <f t="shared" si="18"/>
        <v/>
      </c>
      <c r="U591">
        <f>IF(COUNTIFS($B$2:B591,B591,$F$2:F591,F591)=1,1,0)</f>
        <v>0</v>
      </c>
      <c r="V591" s="13">
        <f t="shared" si="19"/>
        <v>901.80999999999949</v>
      </c>
    </row>
    <row r="592" spans="1:22">
      <c r="A592" t="s">
        <v>894</v>
      </c>
      <c r="B592" t="s">
        <v>132</v>
      </c>
      <c r="C592" t="s">
        <v>133</v>
      </c>
      <c r="D592" t="s">
        <v>82</v>
      </c>
      <c r="E592" t="s">
        <v>83</v>
      </c>
      <c r="F592" t="s">
        <v>48</v>
      </c>
      <c r="G592" t="s">
        <v>84</v>
      </c>
      <c r="H592" t="s">
        <v>870</v>
      </c>
      <c r="I592" t="s">
        <v>29</v>
      </c>
      <c r="J592" t="s">
        <v>29</v>
      </c>
      <c r="K592" t="s">
        <v>31</v>
      </c>
      <c r="L592" s="4">
        <v>45849</v>
      </c>
      <c r="M592" s="4">
        <v>45876</v>
      </c>
      <c r="N592" s="4">
        <v>45885</v>
      </c>
      <c r="O592" t="s">
        <v>32</v>
      </c>
      <c r="P592" s="5">
        <v>1</v>
      </c>
      <c r="Q592" s="6">
        <v>22200</v>
      </c>
      <c r="R592" s="6">
        <v>23527.79</v>
      </c>
      <c r="S592">
        <v>0</v>
      </c>
      <c r="T592">
        <f t="shared" si="18"/>
        <v>9</v>
      </c>
      <c r="U592">
        <f>IF(COUNTIFS($B$2:B592,B592,$F$2:F592,F592)=1,1,0)</f>
        <v>0</v>
      </c>
      <c r="V592" s="13">
        <f t="shared" si="19"/>
        <v>-1327.7900000000009</v>
      </c>
    </row>
    <row r="593" spans="1:22">
      <c r="A593" t="s">
        <v>895</v>
      </c>
      <c r="B593" t="s">
        <v>135</v>
      </c>
      <c r="C593" t="s">
        <v>136</v>
      </c>
      <c r="D593" t="s">
        <v>24</v>
      </c>
      <c r="E593" t="s">
        <v>25</v>
      </c>
      <c r="F593" t="s">
        <v>58</v>
      </c>
      <c r="G593" t="s">
        <v>90</v>
      </c>
      <c r="H593" t="s">
        <v>872</v>
      </c>
      <c r="I593" t="s">
        <v>86</v>
      </c>
      <c r="J593" t="s">
        <v>30</v>
      </c>
      <c r="K593" t="s">
        <v>78</v>
      </c>
      <c r="L593" s="4">
        <v>46020</v>
      </c>
      <c r="M593" s="4">
        <v>46038</v>
      </c>
      <c r="N593" s="4"/>
      <c r="O593" t="s">
        <v>52</v>
      </c>
      <c r="P593" s="5">
        <v>0.75</v>
      </c>
      <c r="Q593" s="6">
        <v>39400</v>
      </c>
      <c r="R593" s="6">
        <v>41755.06</v>
      </c>
      <c r="S593">
        <v>4</v>
      </c>
      <c r="T593" t="str">
        <f t="shared" si="18"/>
        <v/>
      </c>
      <c r="U593">
        <f>IF(COUNTIFS($B$2:B593,B593,$F$2:F593,F593)=1,1,0)</f>
        <v>0</v>
      </c>
      <c r="V593" s="13">
        <f t="shared" si="19"/>
        <v>-2355.0599999999977</v>
      </c>
    </row>
    <row r="594" spans="1:22">
      <c r="A594" t="s">
        <v>896</v>
      </c>
      <c r="B594" t="s">
        <v>138</v>
      </c>
      <c r="C594" t="s">
        <v>139</v>
      </c>
      <c r="D594" t="s">
        <v>36</v>
      </c>
      <c r="E594" t="s">
        <v>37</v>
      </c>
      <c r="F594" t="s">
        <v>66</v>
      </c>
      <c r="G594" t="s">
        <v>95</v>
      </c>
      <c r="H594" t="s">
        <v>874</v>
      </c>
      <c r="I594" t="s">
        <v>29</v>
      </c>
      <c r="J594" t="s">
        <v>29</v>
      </c>
      <c r="K594" t="s">
        <v>178</v>
      </c>
      <c r="L594" s="4">
        <v>45981</v>
      </c>
      <c r="M594" s="4">
        <v>45987</v>
      </c>
      <c r="N594" s="4">
        <v>45990</v>
      </c>
      <c r="O594" t="s">
        <v>32</v>
      </c>
      <c r="P594" s="5">
        <v>1</v>
      </c>
      <c r="Q594" s="6">
        <v>29200</v>
      </c>
      <c r="R594" s="6">
        <v>33070.57</v>
      </c>
      <c r="S594">
        <v>1</v>
      </c>
      <c r="T594">
        <f t="shared" si="18"/>
        <v>3</v>
      </c>
      <c r="U594">
        <f>IF(COUNTIFS($B$2:B594,B594,$F$2:F594,F594)=1,1,0)</f>
        <v>0</v>
      </c>
      <c r="V594" s="13">
        <f t="shared" si="19"/>
        <v>-3870.5699999999997</v>
      </c>
    </row>
    <row r="595" spans="1:22">
      <c r="A595" t="s">
        <v>897</v>
      </c>
      <c r="B595" t="s">
        <v>141</v>
      </c>
      <c r="C595" t="s">
        <v>142</v>
      </c>
      <c r="D595" t="s">
        <v>46</v>
      </c>
      <c r="E595" t="s">
        <v>47</v>
      </c>
      <c r="F595" t="s">
        <v>75</v>
      </c>
      <c r="G595" t="s">
        <v>27</v>
      </c>
      <c r="H595" t="s">
        <v>876</v>
      </c>
      <c r="I595" t="s">
        <v>86</v>
      </c>
      <c r="J595" t="s">
        <v>69</v>
      </c>
      <c r="K595" t="s">
        <v>31</v>
      </c>
      <c r="L595" s="4">
        <v>45744</v>
      </c>
      <c r="M595" s="4">
        <v>45772</v>
      </c>
      <c r="N595" s="4"/>
      <c r="O595" t="s">
        <v>42</v>
      </c>
      <c r="P595" s="5">
        <v>0</v>
      </c>
      <c r="Q595" s="6">
        <v>30000</v>
      </c>
      <c r="R595" s="6">
        <v>0</v>
      </c>
      <c r="S595">
        <v>4</v>
      </c>
      <c r="T595" t="str">
        <f t="shared" si="18"/>
        <v/>
      </c>
      <c r="U595">
        <f>IF(COUNTIFS($B$2:B595,B595,$F$2:F595,F595)=1,1,0)</f>
        <v>0</v>
      </c>
      <c r="V595" s="13">
        <f t="shared" si="19"/>
        <v>30000</v>
      </c>
    </row>
    <row r="596" spans="1:22">
      <c r="A596" t="s">
        <v>898</v>
      </c>
      <c r="B596" t="s">
        <v>145</v>
      </c>
      <c r="C596" t="s">
        <v>146</v>
      </c>
      <c r="D596" t="s">
        <v>56</v>
      </c>
      <c r="E596" t="s">
        <v>57</v>
      </c>
      <c r="F596" t="s">
        <v>26</v>
      </c>
      <c r="G596" t="s">
        <v>39</v>
      </c>
      <c r="H596" t="s">
        <v>878</v>
      </c>
      <c r="I596" t="s">
        <v>69</v>
      </c>
      <c r="J596" t="s">
        <v>29</v>
      </c>
      <c r="K596" t="s">
        <v>51</v>
      </c>
      <c r="L596" s="4">
        <v>45999</v>
      </c>
      <c r="M596" s="4">
        <v>46018</v>
      </c>
      <c r="N596" s="4"/>
      <c r="O596" t="s">
        <v>52</v>
      </c>
      <c r="P596" s="5">
        <v>0.85</v>
      </c>
      <c r="Q596" s="6">
        <v>44700</v>
      </c>
      <c r="R596" s="6">
        <v>45316.38</v>
      </c>
      <c r="S596">
        <v>2</v>
      </c>
      <c r="T596" t="str">
        <f t="shared" si="18"/>
        <v/>
      </c>
      <c r="U596">
        <f>IF(COUNTIFS($B$2:B596,B596,$F$2:F596,F596)=1,1,0)</f>
        <v>0</v>
      </c>
      <c r="V596" s="13">
        <f t="shared" si="19"/>
        <v>-616.37999999999738</v>
      </c>
    </row>
    <row r="597" spans="1:22">
      <c r="A597" t="s">
        <v>899</v>
      </c>
      <c r="B597" t="s">
        <v>148</v>
      </c>
      <c r="C597" t="s">
        <v>149</v>
      </c>
      <c r="D597" t="s">
        <v>64</v>
      </c>
      <c r="E597" t="s">
        <v>65</v>
      </c>
      <c r="F597" t="s">
        <v>38</v>
      </c>
      <c r="G597" t="s">
        <v>49</v>
      </c>
      <c r="H597" t="s">
        <v>880</v>
      </c>
      <c r="I597" t="s">
        <v>30</v>
      </c>
      <c r="J597" t="s">
        <v>30</v>
      </c>
      <c r="K597" t="s">
        <v>31</v>
      </c>
      <c r="L597" s="4">
        <v>45898</v>
      </c>
      <c r="M597" s="4">
        <v>45904</v>
      </c>
      <c r="N597" s="4">
        <v>45899</v>
      </c>
      <c r="O597" t="s">
        <v>32</v>
      </c>
      <c r="P597" s="5">
        <v>1</v>
      </c>
      <c r="Q597" s="6">
        <v>12500</v>
      </c>
      <c r="R597" s="6">
        <v>14525.63</v>
      </c>
      <c r="S597">
        <v>3</v>
      </c>
      <c r="T597">
        <f t="shared" si="18"/>
        <v>0</v>
      </c>
      <c r="U597">
        <f>IF(COUNTIFS($B$2:B597,B597,$F$2:F597,F597)=1,1,0)</f>
        <v>0</v>
      </c>
      <c r="V597" s="13">
        <f t="shared" si="19"/>
        <v>-2025.6299999999992</v>
      </c>
    </row>
    <row r="598" spans="1:22">
      <c r="A598" t="s">
        <v>900</v>
      </c>
      <c r="B598" t="s">
        <v>151</v>
      </c>
      <c r="C598" t="s">
        <v>152</v>
      </c>
      <c r="D598" t="s">
        <v>73</v>
      </c>
      <c r="E598" t="s">
        <v>74</v>
      </c>
      <c r="F598" t="s">
        <v>48</v>
      </c>
      <c r="G598" t="s">
        <v>59</v>
      </c>
      <c r="H598" t="s">
        <v>882</v>
      </c>
      <c r="I598" t="s">
        <v>30</v>
      </c>
      <c r="J598" t="s">
        <v>29</v>
      </c>
      <c r="K598" t="s">
        <v>178</v>
      </c>
      <c r="L598" s="4">
        <v>46084</v>
      </c>
      <c r="M598" s="4">
        <v>46106</v>
      </c>
      <c r="N598" s="4">
        <v>46110</v>
      </c>
      <c r="O598" t="s">
        <v>32</v>
      </c>
      <c r="P598" s="5">
        <v>1</v>
      </c>
      <c r="Q598" s="6">
        <v>32300</v>
      </c>
      <c r="R598" s="6">
        <v>38049.769999999997</v>
      </c>
      <c r="S598">
        <v>3</v>
      </c>
      <c r="T598">
        <f t="shared" si="18"/>
        <v>4</v>
      </c>
      <c r="U598">
        <f>IF(COUNTIFS($B$2:B598,B598,$F$2:F598,F598)=1,1,0)</f>
        <v>0</v>
      </c>
      <c r="V598" s="13">
        <f t="shared" si="19"/>
        <v>-5749.7699999999968</v>
      </c>
    </row>
    <row r="599" spans="1:22">
      <c r="A599" t="s">
        <v>901</v>
      </c>
      <c r="B599" t="s">
        <v>154</v>
      </c>
      <c r="C599" t="s">
        <v>155</v>
      </c>
      <c r="D599" t="s">
        <v>82</v>
      </c>
      <c r="E599" t="s">
        <v>83</v>
      </c>
      <c r="F599" t="s">
        <v>58</v>
      </c>
      <c r="G599" t="s">
        <v>67</v>
      </c>
      <c r="H599" t="s">
        <v>866</v>
      </c>
      <c r="I599" t="s">
        <v>29</v>
      </c>
      <c r="J599" t="s">
        <v>29</v>
      </c>
      <c r="K599" t="s">
        <v>178</v>
      </c>
      <c r="L599" s="4">
        <v>46139</v>
      </c>
      <c r="M599" s="4">
        <v>46167</v>
      </c>
      <c r="N599" s="4"/>
      <c r="O599" t="s">
        <v>109</v>
      </c>
      <c r="P599" s="5">
        <v>0.1</v>
      </c>
      <c r="Q599" s="6">
        <v>31800</v>
      </c>
      <c r="R599" s="6">
        <v>32353.77</v>
      </c>
      <c r="S599">
        <v>3</v>
      </c>
      <c r="T599" t="str">
        <f t="shared" si="18"/>
        <v/>
      </c>
      <c r="U599">
        <f>IF(COUNTIFS($B$2:B599,B599,$F$2:F599,F599)=1,1,0)</f>
        <v>0</v>
      </c>
      <c r="V599" s="13">
        <f t="shared" si="19"/>
        <v>-553.77000000000044</v>
      </c>
    </row>
    <row r="600" spans="1:22">
      <c r="A600" t="s">
        <v>902</v>
      </c>
      <c r="B600" t="s">
        <v>157</v>
      </c>
      <c r="C600" t="s">
        <v>158</v>
      </c>
      <c r="D600" t="s">
        <v>24</v>
      </c>
      <c r="E600" t="s">
        <v>25</v>
      </c>
      <c r="F600" t="s">
        <v>66</v>
      </c>
      <c r="G600" t="s">
        <v>76</v>
      </c>
      <c r="H600" t="s">
        <v>868</v>
      </c>
      <c r="I600" t="s">
        <v>86</v>
      </c>
      <c r="J600" t="s">
        <v>29</v>
      </c>
      <c r="K600" t="s">
        <v>178</v>
      </c>
      <c r="L600" s="4">
        <v>46092</v>
      </c>
      <c r="M600" s="4">
        <v>46119</v>
      </c>
      <c r="N600" s="4"/>
      <c r="O600" t="s">
        <v>52</v>
      </c>
      <c r="P600" s="5">
        <v>0.85</v>
      </c>
      <c r="Q600" s="6">
        <v>35000</v>
      </c>
      <c r="R600" s="6">
        <v>34681.449999999997</v>
      </c>
      <c r="S600">
        <v>2</v>
      </c>
      <c r="T600" t="str">
        <f t="shared" si="18"/>
        <v/>
      </c>
      <c r="U600">
        <f>IF(COUNTIFS($B$2:B600,B600,$F$2:F600,F600)=1,1,0)</f>
        <v>0</v>
      </c>
      <c r="V600" s="13">
        <f t="shared" si="19"/>
        <v>318.55000000000291</v>
      </c>
    </row>
    <row r="601" spans="1:22">
      <c r="A601" t="s">
        <v>903</v>
      </c>
      <c r="B601" t="s">
        <v>160</v>
      </c>
      <c r="C601" t="s">
        <v>161</v>
      </c>
      <c r="D601" t="s">
        <v>36</v>
      </c>
      <c r="E601" t="s">
        <v>37</v>
      </c>
      <c r="F601" t="s">
        <v>75</v>
      </c>
      <c r="G601" t="s">
        <v>90</v>
      </c>
      <c r="H601" t="s">
        <v>872</v>
      </c>
      <c r="I601" t="s">
        <v>30</v>
      </c>
      <c r="J601" t="s">
        <v>29</v>
      </c>
      <c r="K601" t="s">
        <v>31</v>
      </c>
      <c r="L601" s="4">
        <v>46027</v>
      </c>
      <c r="M601" s="4">
        <v>46031</v>
      </c>
      <c r="N601" s="4"/>
      <c r="O601" t="s">
        <v>52</v>
      </c>
      <c r="P601" s="5">
        <v>0.9</v>
      </c>
      <c r="Q601" s="6">
        <v>13000</v>
      </c>
      <c r="R601" s="6">
        <v>11710.99</v>
      </c>
      <c r="S601">
        <v>2</v>
      </c>
      <c r="T601" t="str">
        <f t="shared" si="18"/>
        <v/>
      </c>
      <c r="U601">
        <f>IF(COUNTIFS($B$2:B601,B601,$F$2:F601,F601)=1,1,0)</f>
        <v>0</v>
      </c>
      <c r="V601" s="13">
        <f t="shared" si="19"/>
        <v>1289.0100000000002</v>
      </c>
    </row>
    <row r="602" spans="1:22">
      <c r="A602" t="s">
        <v>904</v>
      </c>
      <c r="B602" t="s">
        <v>22</v>
      </c>
      <c r="C602" t="s">
        <v>23</v>
      </c>
      <c r="D602" t="s">
        <v>24</v>
      </c>
      <c r="E602" t="s">
        <v>25</v>
      </c>
      <c r="F602" t="s">
        <v>26</v>
      </c>
      <c r="G602" t="s">
        <v>95</v>
      </c>
      <c r="H602" t="s">
        <v>905</v>
      </c>
      <c r="I602" t="s">
        <v>86</v>
      </c>
      <c r="J602" t="s">
        <v>29</v>
      </c>
      <c r="K602" t="s">
        <v>31</v>
      </c>
      <c r="L602" s="4">
        <v>46115</v>
      </c>
      <c r="M602" s="4">
        <v>46121</v>
      </c>
      <c r="N602" s="4"/>
      <c r="O602" t="s">
        <v>32</v>
      </c>
      <c r="P602" s="5">
        <v>0</v>
      </c>
      <c r="Q602" s="6">
        <v>34900</v>
      </c>
      <c r="R602" s="6">
        <v>0</v>
      </c>
      <c r="S602">
        <v>4</v>
      </c>
      <c r="T602" t="str">
        <f t="shared" si="18"/>
        <v/>
      </c>
      <c r="U602">
        <f>IF(COUNTIFS($B$2:B602,B602,$F$2:F602,F602)=1,1,0)</f>
        <v>0</v>
      </c>
      <c r="V602" s="13">
        <f t="shared" si="19"/>
        <v>34900</v>
      </c>
    </row>
    <row r="603" spans="1:22">
      <c r="A603" t="s">
        <v>906</v>
      </c>
      <c r="B603" t="s">
        <v>34</v>
      </c>
      <c r="C603" t="s">
        <v>35</v>
      </c>
      <c r="D603" t="s">
        <v>36</v>
      </c>
      <c r="E603" t="s">
        <v>37</v>
      </c>
      <c r="F603" t="s">
        <v>38</v>
      </c>
      <c r="G603" t="s">
        <v>27</v>
      </c>
      <c r="H603" t="s">
        <v>907</v>
      </c>
      <c r="I603" t="s">
        <v>86</v>
      </c>
      <c r="J603" t="s">
        <v>29</v>
      </c>
      <c r="K603" t="s">
        <v>31</v>
      </c>
      <c r="L603" s="4">
        <v>45738</v>
      </c>
      <c r="M603" s="4">
        <v>45743</v>
      </c>
      <c r="N603" s="4">
        <v>45745</v>
      </c>
      <c r="O603" t="s">
        <v>32</v>
      </c>
      <c r="P603" s="5">
        <v>1</v>
      </c>
      <c r="Q603" s="6">
        <v>40500</v>
      </c>
      <c r="R603" s="6">
        <v>46150.879999999997</v>
      </c>
      <c r="S603">
        <v>3</v>
      </c>
      <c r="T603">
        <f t="shared" si="18"/>
        <v>2</v>
      </c>
      <c r="U603">
        <f>IF(COUNTIFS($B$2:B603,B603,$F$2:F603,F603)=1,1,0)</f>
        <v>0</v>
      </c>
      <c r="V603" s="13">
        <f t="shared" si="19"/>
        <v>-5650.8799999999974</v>
      </c>
    </row>
    <row r="604" spans="1:22">
      <c r="A604" t="s">
        <v>908</v>
      </c>
      <c r="B604" t="s">
        <v>44</v>
      </c>
      <c r="C604" t="s">
        <v>45</v>
      </c>
      <c r="D604" t="s">
        <v>46</v>
      </c>
      <c r="E604" t="s">
        <v>47</v>
      </c>
      <c r="F604" t="s">
        <v>48</v>
      </c>
      <c r="G604" t="s">
        <v>39</v>
      </c>
      <c r="H604" t="s">
        <v>909</v>
      </c>
      <c r="I604" t="s">
        <v>86</v>
      </c>
      <c r="J604" t="s">
        <v>29</v>
      </c>
      <c r="K604" t="s">
        <v>31</v>
      </c>
      <c r="L604" s="4">
        <v>45759</v>
      </c>
      <c r="M604" s="4">
        <v>45774</v>
      </c>
      <c r="N604" s="4">
        <v>45784</v>
      </c>
      <c r="O604" t="s">
        <v>32</v>
      </c>
      <c r="P604" s="5">
        <v>1</v>
      </c>
      <c r="Q604" s="6">
        <v>23900</v>
      </c>
      <c r="R604" s="6">
        <v>27216.81</v>
      </c>
      <c r="S604">
        <v>1</v>
      </c>
      <c r="T604">
        <f t="shared" si="18"/>
        <v>10</v>
      </c>
      <c r="U604">
        <f>IF(COUNTIFS($B$2:B604,B604,$F$2:F604,F604)=1,1,0)</f>
        <v>0</v>
      </c>
      <c r="V604" s="13">
        <f t="shared" si="19"/>
        <v>-3316.8100000000013</v>
      </c>
    </row>
    <row r="605" spans="1:22">
      <c r="A605" t="s">
        <v>910</v>
      </c>
      <c r="B605" t="s">
        <v>54</v>
      </c>
      <c r="C605" t="s">
        <v>55</v>
      </c>
      <c r="D605" t="s">
        <v>56</v>
      </c>
      <c r="E605" t="s">
        <v>57</v>
      </c>
      <c r="F605" t="s">
        <v>58</v>
      </c>
      <c r="G605" t="s">
        <v>49</v>
      </c>
      <c r="H605" t="s">
        <v>911</v>
      </c>
      <c r="I605" t="s">
        <v>29</v>
      </c>
      <c r="J605" t="s">
        <v>29</v>
      </c>
      <c r="K605" t="s">
        <v>78</v>
      </c>
      <c r="L605" s="4">
        <v>46059</v>
      </c>
      <c r="M605" s="4">
        <v>46079</v>
      </c>
      <c r="N605" s="4"/>
      <c r="O605" t="s">
        <v>32</v>
      </c>
      <c r="P605" s="5">
        <v>0.6</v>
      </c>
      <c r="Q605" s="6">
        <v>43000</v>
      </c>
      <c r="R605" s="6">
        <v>46107.57</v>
      </c>
      <c r="S605">
        <v>0</v>
      </c>
      <c r="T605" t="str">
        <f t="shared" si="18"/>
        <v/>
      </c>
      <c r="U605">
        <f>IF(COUNTIFS($B$2:B605,B605,$F$2:F605,F605)=1,1,0)</f>
        <v>0</v>
      </c>
      <c r="V605" s="13">
        <f t="shared" si="19"/>
        <v>-3107.5699999999997</v>
      </c>
    </row>
    <row r="606" spans="1:22">
      <c r="A606" t="s">
        <v>912</v>
      </c>
      <c r="B606" t="s">
        <v>62</v>
      </c>
      <c r="C606" t="s">
        <v>63</v>
      </c>
      <c r="D606" t="s">
        <v>64</v>
      </c>
      <c r="E606" t="s">
        <v>65</v>
      </c>
      <c r="F606" t="s">
        <v>66</v>
      </c>
      <c r="G606" t="s">
        <v>59</v>
      </c>
      <c r="H606" t="s">
        <v>913</v>
      </c>
      <c r="I606" t="s">
        <v>29</v>
      </c>
      <c r="J606" t="s">
        <v>69</v>
      </c>
      <c r="K606" t="s">
        <v>31</v>
      </c>
      <c r="L606" s="4">
        <v>45880</v>
      </c>
      <c r="M606" s="4">
        <v>45895</v>
      </c>
      <c r="N606" s="4"/>
      <c r="O606" t="s">
        <v>32</v>
      </c>
      <c r="P606" s="5">
        <v>0</v>
      </c>
      <c r="Q606" s="6">
        <v>44900</v>
      </c>
      <c r="R606" s="6">
        <v>0</v>
      </c>
      <c r="S606">
        <v>2</v>
      </c>
      <c r="T606" t="str">
        <f t="shared" si="18"/>
        <v/>
      </c>
      <c r="U606">
        <f>IF(COUNTIFS($B$2:B606,B606,$F$2:F606,F606)=1,1,0)</f>
        <v>0</v>
      </c>
      <c r="V606" s="13">
        <f t="shared" si="19"/>
        <v>44900</v>
      </c>
    </row>
    <row r="607" spans="1:22">
      <c r="A607" t="s">
        <v>914</v>
      </c>
      <c r="B607" t="s">
        <v>71</v>
      </c>
      <c r="C607" t="s">
        <v>72</v>
      </c>
      <c r="D607" t="s">
        <v>73</v>
      </c>
      <c r="E607" t="s">
        <v>74</v>
      </c>
      <c r="F607" t="s">
        <v>75</v>
      </c>
      <c r="G607" t="s">
        <v>67</v>
      </c>
      <c r="H607" t="s">
        <v>915</v>
      </c>
      <c r="I607" t="s">
        <v>69</v>
      </c>
      <c r="J607" t="s">
        <v>30</v>
      </c>
      <c r="K607" t="s">
        <v>41</v>
      </c>
      <c r="L607" s="4">
        <v>45862</v>
      </c>
      <c r="M607" s="4">
        <v>45885</v>
      </c>
      <c r="N607" s="4"/>
      <c r="O607" t="s">
        <v>32</v>
      </c>
      <c r="P607" s="5">
        <v>0.75</v>
      </c>
      <c r="Q607" s="6">
        <v>3200</v>
      </c>
      <c r="R607" s="6">
        <v>3092.89</v>
      </c>
      <c r="S607">
        <v>2</v>
      </c>
      <c r="T607" t="str">
        <f t="shared" si="18"/>
        <v/>
      </c>
      <c r="U607">
        <f>IF(COUNTIFS($B$2:B607,B607,$F$2:F607,F607)=1,1,0)</f>
        <v>0</v>
      </c>
      <c r="V607" s="13">
        <f t="shared" si="19"/>
        <v>107.11000000000013</v>
      </c>
    </row>
    <row r="608" spans="1:22">
      <c r="A608" t="s">
        <v>916</v>
      </c>
      <c r="B608" t="s">
        <v>80</v>
      </c>
      <c r="C608" t="s">
        <v>81</v>
      </c>
      <c r="D608" t="s">
        <v>82</v>
      </c>
      <c r="E608" t="s">
        <v>83</v>
      </c>
      <c r="F608" t="s">
        <v>26</v>
      </c>
      <c r="G608" t="s">
        <v>76</v>
      </c>
      <c r="H608" t="s">
        <v>917</v>
      </c>
      <c r="I608" t="s">
        <v>69</v>
      </c>
      <c r="J608" t="s">
        <v>69</v>
      </c>
      <c r="K608" t="s">
        <v>51</v>
      </c>
      <c r="L608" s="4">
        <v>45868</v>
      </c>
      <c r="M608" s="4">
        <v>45886</v>
      </c>
      <c r="N608" s="4"/>
      <c r="O608" t="s">
        <v>32</v>
      </c>
      <c r="P608" s="5">
        <v>0</v>
      </c>
      <c r="Q608" s="6">
        <v>29000</v>
      </c>
      <c r="R608" s="6">
        <v>0</v>
      </c>
      <c r="S608">
        <v>2</v>
      </c>
      <c r="T608" t="str">
        <f t="shared" si="18"/>
        <v/>
      </c>
      <c r="U608">
        <f>IF(COUNTIFS($B$2:B608,B608,$F$2:F608,F608)=1,1,0)</f>
        <v>0</v>
      </c>
      <c r="V608" s="13">
        <f t="shared" si="19"/>
        <v>29000</v>
      </c>
    </row>
    <row r="609" spans="1:22">
      <c r="A609" t="s">
        <v>918</v>
      </c>
      <c r="B609" t="s">
        <v>88</v>
      </c>
      <c r="C609" t="s">
        <v>89</v>
      </c>
      <c r="D609" t="s">
        <v>24</v>
      </c>
      <c r="E609" t="s">
        <v>25</v>
      </c>
      <c r="F609" t="s">
        <v>38</v>
      </c>
      <c r="G609" t="s">
        <v>84</v>
      </c>
      <c r="H609" t="s">
        <v>919</v>
      </c>
      <c r="I609" t="s">
        <v>29</v>
      </c>
      <c r="J609" t="s">
        <v>29</v>
      </c>
      <c r="K609" t="s">
        <v>51</v>
      </c>
      <c r="L609" s="4">
        <v>45859</v>
      </c>
      <c r="M609" s="4">
        <v>45874</v>
      </c>
      <c r="N609" s="4"/>
      <c r="O609" t="s">
        <v>32</v>
      </c>
      <c r="P609" s="5">
        <v>0</v>
      </c>
      <c r="Q609" s="6">
        <v>25000</v>
      </c>
      <c r="R609" s="6">
        <v>0</v>
      </c>
      <c r="S609">
        <v>3</v>
      </c>
      <c r="T609" t="str">
        <f t="shared" si="18"/>
        <v/>
      </c>
      <c r="U609">
        <f>IF(COUNTIFS($B$2:B609,B609,$F$2:F609,F609)=1,1,0)</f>
        <v>0</v>
      </c>
      <c r="V609" s="13">
        <f t="shared" si="19"/>
        <v>25000</v>
      </c>
    </row>
    <row r="610" spans="1:22">
      <c r="A610" t="s">
        <v>920</v>
      </c>
      <c r="B610" t="s">
        <v>93</v>
      </c>
      <c r="C610" t="s">
        <v>94</v>
      </c>
      <c r="D610" t="s">
        <v>36</v>
      </c>
      <c r="E610" t="s">
        <v>37</v>
      </c>
      <c r="F610" t="s">
        <v>48</v>
      </c>
      <c r="G610" t="s">
        <v>90</v>
      </c>
      <c r="H610" t="s">
        <v>921</v>
      </c>
      <c r="I610" t="s">
        <v>69</v>
      </c>
      <c r="J610" t="s">
        <v>30</v>
      </c>
      <c r="K610" t="s">
        <v>178</v>
      </c>
      <c r="L610" s="4">
        <v>46049</v>
      </c>
      <c r="M610" s="4">
        <v>46062</v>
      </c>
      <c r="N610" s="4"/>
      <c r="O610" t="s">
        <v>42</v>
      </c>
      <c r="P610" s="5">
        <v>0</v>
      </c>
      <c r="Q610" s="6">
        <v>35800</v>
      </c>
      <c r="R610" s="6">
        <v>0</v>
      </c>
      <c r="S610">
        <v>1</v>
      </c>
      <c r="T610" t="str">
        <f t="shared" si="18"/>
        <v/>
      </c>
      <c r="U610">
        <f>IF(COUNTIFS($B$2:B610,B610,$F$2:F610,F610)=1,1,0)</f>
        <v>0</v>
      </c>
      <c r="V610" s="13">
        <f t="shared" si="19"/>
        <v>35800</v>
      </c>
    </row>
    <row r="611" spans="1:22">
      <c r="A611" t="s">
        <v>922</v>
      </c>
      <c r="B611" t="s">
        <v>98</v>
      </c>
      <c r="C611" t="s">
        <v>99</v>
      </c>
      <c r="D611" t="s">
        <v>46</v>
      </c>
      <c r="E611" t="s">
        <v>47</v>
      </c>
      <c r="F611" t="s">
        <v>58</v>
      </c>
      <c r="G611" t="s">
        <v>95</v>
      </c>
      <c r="H611" t="s">
        <v>905</v>
      </c>
      <c r="I611" t="s">
        <v>69</v>
      </c>
      <c r="J611" t="s">
        <v>29</v>
      </c>
      <c r="K611" t="s">
        <v>143</v>
      </c>
      <c r="L611" s="4">
        <v>45852</v>
      </c>
      <c r="M611" s="4">
        <v>45859</v>
      </c>
      <c r="N611" s="4">
        <v>45861</v>
      </c>
      <c r="O611" t="s">
        <v>32</v>
      </c>
      <c r="P611" s="5">
        <v>1</v>
      </c>
      <c r="Q611" s="6">
        <v>33500</v>
      </c>
      <c r="R611" s="6">
        <v>35586.769999999997</v>
      </c>
      <c r="S611">
        <v>1</v>
      </c>
      <c r="T611">
        <f t="shared" si="18"/>
        <v>2</v>
      </c>
      <c r="U611">
        <f>IF(COUNTIFS($B$2:B611,B611,$F$2:F611,F611)=1,1,0)</f>
        <v>0</v>
      </c>
      <c r="V611" s="13">
        <f t="shared" si="19"/>
        <v>-2086.7699999999968</v>
      </c>
    </row>
    <row r="612" spans="1:22">
      <c r="A612" t="s">
        <v>923</v>
      </c>
      <c r="B612" t="s">
        <v>101</v>
      </c>
      <c r="C612" t="s">
        <v>102</v>
      </c>
      <c r="D612" t="s">
        <v>56</v>
      </c>
      <c r="E612" t="s">
        <v>57</v>
      </c>
      <c r="F612" t="s">
        <v>66</v>
      </c>
      <c r="G612" t="s">
        <v>27</v>
      </c>
      <c r="H612" t="s">
        <v>907</v>
      </c>
      <c r="I612" t="s">
        <v>86</v>
      </c>
      <c r="J612" t="s">
        <v>29</v>
      </c>
      <c r="K612" t="s">
        <v>31</v>
      </c>
      <c r="L612" s="4">
        <v>46042</v>
      </c>
      <c r="M612" s="4">
        <v>46045</v>
      </c>
      <c r="N612" s="4"/>
      <c r="O612" t="s">
        <v>42</v>
      </c>
      <c r="P612" s="5">
        <v>0</v>
      </c>
      <c r="Q612" s="6">
        <v>3700</v>
      </c>
      <c r="R612" s="6">
        <v>0</v>
      </c>
      <c r="S612">
        <v>1</v>
      </c>
      <c r="T612" t="str">
        <f t="shared" si="18"/>
        <v/>
      </c>
      <c r="U612">
        <f>IF(COUNTIFS($B$2:B612,B612,$F$2:F612,F612)=1,1,0)</f>
        <v>0</v>
      </c>
      <c r="V612" s="13">
        <f t="shared" si="19"/>
        <v>3700</v>
      </c>
    </row>
    <row r="613" spans="1:22">
      <c r="A613" t="s">
        <v>924</v>
      </c>
      <c r="B613" t="s">
        <v>104</v>
      </c>
      <c r="C613" t="s">
        <v>105</v>
      </c>
      <c r="D613" t="s">
        <v>64</v>
      </c>
      <c r="E613" t="s">
        <v>65</v>
      </c>
      <c r="F613" t="s">
        <v>75</v>
      </c>
      <c r="G613" t="s">
        <v>39</v>
      </c>
      <c r="H613" t="s">
        <v>909</v>
      </c>
      <c r="I613" t="s">
        <v>29</v>
      </c>
      <c r="J613" t="s">
        <v>30</v>
      </c>
      <c r="K613" t="s">
        <v>51</v>
      </c>
      <c r="L613" s="4">
        <v>46069</v>
      </c>
      <c r="M613" s="4">
        <v>46075</v>
      </c>
      <c r="N613" s="4">
        <v>46089</v>
      </c>
      <c r="O613" t="s">
        <v>32</v>
      </c>
      <c r="P613" s="5">
        <v>1</v>
      </c>
      <c r="Q613" s="6">
        <v>36300</v>
      </c>
      <c r="R613" s="6">
        <v>38352.25</v>
      </c>
      <c r="S613">
        <v>4</v>
      </c>
      <c r="T613">
        <f t="shared" si="18"/>
        <v>14</v>
      </c>
      <c r="U613">
        <f>IF(COUNTIFS($B$2:B613,B613,$F$2:F613,F613)=1,1,0)</f>
        <v>0</v>
      </c>
      <c r="V613" s="13">
        <f t="shared" si="19"/>
        <v>-2052.25</v>
      </c>
    </row>
    <row r="614" spans="1:22">
      <c r="A614" t="s">
        <v>925</v>
      </c>
      <c r="B614" t="s">
        <v>107</v>
      </c>
      <c r="C614" t="s">
        <v>108</v>
      </c>
      <c r="D614" t="s">
        <v>73</v>
      </c>
      <c r="E614" t="s">
        <v>74</v>
      </c>
      <c r="F614" t="s">
        <v>26</v>
      </c>
      <c r="G614" t="s">
        <v>49</v>
      </c>
      <c r="H614" t="s">
        <v>911</v>
      </c>
      <c r="I614" t="s">
        <v>29</v>
      </c>
      <c r="J614" t="s">
        <v>29</v>
      </c>
      <c r="K614" t="s">
        <v>178</v>
      </c>
      <c r="L614" s="4">
        <v>46044</v>
      </c>
      <c r="M614" s="4">
        <v>46057</v>
      </c>
      <c r="N614" s="4"/>
      <c r="O614" t="s">
        <v>42</v>
      </c>
      <c r="P614" s="5">
        <v>0</v>
      </c>
      <c r="Q614" s="6">
        <v>31300</v>
      </c>
      <c r="R614" s="6">
        <v>0</v>
      </c>
      <c r="S614">
        <v>1</v>
      </c>
      <c r="T614" t="str">
        <f t="shared" si="18"/>
        <v/>
      </c>
      <c r="U614">
        <f>IF(COUNTIFS($B$2:B614,B614,$F$2:F614,F614)=1,1,0)</f>
        <v>0</v>
      </c>
      <c r="V614" s="13">
        <f t="shared" si="19"/>
        <v>31300</v>
      </c>
    </row>
    <row r="615" spans="1:22">
      <c r="A615" t="s">
        <v>926</v>
      </c>
      <c r="B615" t="s">
        <v>111</v>
      </c>
      <c r="C615" t="s">
        <v>112</v>
      </c>
      <c r="D615" t="s">
        <v>82</v>
      </c>
      <c r="E615" t="s">
        <v>83</v>
      </c>
      <c r="F615" t="s">
        <v>38</v>
      </c>
      <c r="G615" t="s">
        <v>59</v>
      </c>
      <c r="H615" t="s">
        <v>913</v>
      </c>
      <c r="I615" t="s">
        <v>86</v>
      </c>
      <c r="J615" t="s">
        <v>30</v>
      </c>
      <c r="K615" t="s">
        <v>31</v>
      </c>
      <c r="L615" s="4">
        <v>45751</v>
      </c>
      <c r="M615" s="4">
        <v>45764</v>
      </c>
      <c r="N615" s="4"/>
      <c r="O615" t="s">
        <v>42</v>
      </c>
      <c r="P615" s="5">
        <v>0</v>
      </c>
      <c r="Q615" s="6">
        <v>13400</v>
      </c>
      <c r="R615" s="6">
        <v>0</v>
      </c>
      <c r="S615">
        <v>0</v>
      </c>
      <c r="T615" t="str">
        <f t="shared" si="18"/>
        <v/>
      </c>
      <c r="U615">
        <f>IF(COUNTIFS($B$2:B615,B615,$F$2:F615,F615)=1,1,0)</f>
        <v>0</v>
      </c>
      <c r="V615" s="13">
        <f t="shared" si="19"/>
        <v>13400</v>
      </c>
    </row>
    <row r="616" spans="1:22">
      <c r="A616" t="s">
        <v>927</v>
      </c>
      <c r="B616" t="s">
        <v>114</v>
      </c>
      <c r="C616" t="s">
        <v>115</v>
      </c>
      <c r="D616" t="s">
        <v>24</v>
      </c>
      <c r="E616" t="s">
        <v>25</v>
      </c>
      <c r="F616" t="s">
        <v>48</v>
      </c>
      <c r="G616" t="s">
        <v>67</v>
      </c>
      <c r="H616" t="s">
        <v>915</v>
      </c>
      <c r="I616" t="s">
        <v>29</v>
      </c>
      <c r="J616" t="s">
        <v>30</v>
      </c>
      <c r="K616" t="s">
        <v>31</v>
      </c>
      <c r="L616" s="4">
        <v>46113</v>
      </c>
      <c r="M616" s="4">
        <v>46117</v>
      </c>
      <c r="N616" s="4"/>
      <c r="O616" t="s">
        <v>42</v>
      </c>
      <c r="P616" s="5">
        <v>0</v>
      </c>
      <c r="Q616" s="6">
        <v>35900</v>
      </c>
      <c r="R616" s="6">
        <v>0</v>
      </c>
      <c r="S616">
        <v>0</v>
      </c>
      <c r="T616" t="str">
        <f t="shared" si="18"/>
        <v/>
      </c>
      <c r="U616">
        <f>IF(COUNTIFS($B$2:B616,B616,$F$2:F616,F616)=1,1,0)</f>
        <v>0</v>
      </c>
      <c r="V616" s="13">
        <f t="shared" si="19"/>
        <v>35900</v>
      </c>
    </row>
    <row r="617" spans="1:22">
      <c r="A617" t="s">
        <v>928</v>
      </c>
      <c r="B617" t="s">
        <v>117</v>
      </c>
      <c r="C617" t="s">
        <v>118</v>
      </c>
      <c r="D617" t="s">
        <v>36</v>
      </c>
      <c r="E617" t="s">
        <v>37</v>
      </c>
      <c r="F617" t="s">
        <v>58</v>
      </c>
      <c r="G617" t="s">
        <v>76</v>
      </c>
      <c r="H617" t="s">
        <v>917</v>
      </c>
      <c r="I617" t="s">
        <v>29</v>
      </c>
      <c r="J617" t="s">
        <v>69</v>
      </c>
      <c r="K617" t="s">
        <v>31</v>
      </c>
      <c r="L617" s="4">
        <v>45880</v>
      </c>
      <c r="M617" s="4">
        <v>45888</v>
      </c>
      <c r="N617" s="4">
        <v>45887</v>
      </c>
      <c r="O617" t="s">
        <v>32</v>
      </c>
      <c r="P617" s="5">
        <v>1</v>
      </c>
      <c r="Q617" s="6">
        <v>13800</v>
      </c>
      <c r="R617" s="6">
        <v>12803.35</v>
      </c>
      <c r="S617">
        <v>2</v>
      </c>
      <c r="T617">
        <f t="shared" si="18"/>
        <v>0</v>
      </c>
      <c r="U617">
        <f>IF(COUNTIFS($B$2:B617,B617,$F$2:F617,F617)=1,1,0)</f>
        <v>0</v>
      </c>
      <c r="V617" s="13">
        <f t="shared" si="19"/>
        <v>996.64999999999964</v>
      </c>
    </row>
    <row r="618" spans="1:22">
      <c r="A618" t="s">
        <v>929</v>
      </c>
      <c r="B618" t="s">
        <v>120</v>
      </c>
      <c r="C618" t="s">
        <v>121</v>
      </c>
      <c r="D618" t="s">
        <v>46</v>
      </c>
      <c r="E618" t="s">
        <v>47</v>
      </c>
      <c r="F618" t="s">
        <v>66</v>
      </c>
      <c r="G618" t="s">
        <v>84</v>
      </c>
      <c r="H618" t="s">
        <v>919</v>
      </c>
      <c r="I618" t="s">
        <v>29</v>
      </c>
      <c r="J618" t="s">
        <v>30</v>
      </c>
      <c r="K618" t="s">
        <v>31</v>
      </c>
      <c r="L618" s="4">
        <v>45748</v>
      </c>
      <c r="M618" s="4">
        <v>45767</v>
      </c>
      <c r="N618" s="4"/>
      <c r="O618" t="s">
        <v>52</v>
      </c>
      <c r="P618" s="5">
        <v>0.4</v>
      </c>
      <c r="Q618" s="6">
        <v>42300</v>
      </c>
      <c r="R618" s="6">
        <v>35411.53</v>
      </c>
      <c r="S618">
        <v>1</v>
      </c>
      <c r="T618" t="str">
        <f t="shared" si="18"/>
        <v/>
      </c>
      <c r="U618">
        <f>IF(COUNTIFS($B$2:B618,B618,$F$2:F618,F618)=1,1,0)</f>
        <v>0</v>
      </c>
      <c r="V618" s="13">
        <f t="shared" si="19"/>
        <v>6888.4700000000012</v>
      </c>
    </row>
    <row r="619" spans="1:22">
      <c r="A619" t="s">
        <v>930</v>
      </c>
      <c r="B619" t="s">
        <v>123</v>
      </c>
      <c r="C619" t="s">
        <v>124</v>
      </c>
      <c r="D619" t="s">
        <v>56</v>
      </c>
      <c r="E619" t="s">
        <v>57</v>
      </c>
      <c r="F619" t="s">
        <v>75</v>
      </c>
      <c r="G619" t="s">
        <v>90</v>
      </c>
      <c r="H619" t="s">
        <v>921</v>
      </c>
      <c r="I619" t="s">
        <v>29</v>
      </c>
      <c r="J619" t="s">
        <v>30</v>
      </c>
      <c r="K619" t="s">
        <v>178</v>
      </c>
      <c r="L619" s="4">
        <v>45755</v>
      </c>
      <c r="M619" s="4">
        <v>45769</v>
      </c>
      <c r="N619" s="4"/>
      <c r="O619" t="s">
        <v>52</v>
      </c>
      <c r="P619" s="5">
        <v>0.75</v>
      </c>
      <c r="Q619" s="6">
        <v>11800</v>
      </c>
      <c r="R619" s="6">
        <v>11805.93</v>
      </c>
      <c r="S619">
        <v>2</v>
      </c>
      <c r="T619" t="str">
        <f t="shared" si="18"/>
        <v/>
      </c>
      <c r="U619">
        <f>IF(COUNTIFS($B$2:B619,B619,$F$2:F619,F619)=1,1,0)</f>
        <v>0</v>
      </c>
      <c r="V619" s="13">
        <f t="shared" si="19"/>
        <v>-5.930000000000291</v>
      </c>
    </row>
    <row r="620" spans="1:22">
      <c r="A620" t="s">
        <v>931</v>
      </c>
      <c r="B620" t="s">
        <v>126</v>
      </c>
      <c r="C620" t="s">
        <v>127</v>
      </c>
      <c r="D620" t="s">
        <v>64</v>
      </c>
      <c r="E620" t="s">
        <v>65</v>
      </c>
      <c r="F620" t="s">
        <v>26</v>
      </c>
      <c r="G620" t="s">
        <v>95</v>
      </c>
      <c r="H620" t="s">
        <v>905</v>
      </c>
      <c r="I620" t="s">
        <v>30</v>
      </c>
      <c r="J620" t="s">
        <v>30</v>
      </c>
      <c r="K620" t="s">
        <v>78</v>
      </c>
      <c r="L620" s="4">
        <v>45848</v>
      </c>
      <c r="M620" s="4">
        <v>45867</v>
      </c>
      <c r="N620" s="4"/>
      <c r="O620" t="s">
        <v>52</v>
      </c>
      <c r="P620" s="5">
        <v>0.9</v>
      </c>
      <c r="Q620" s="6">
        <v>28800</v>
      </c>
      <c r="R620" s="6">
        <v>31996.89</v>
      </c>
      <c r="S620">
        <v>1</v>
      </c>
      <c r="T620" t="str">
        <f t="shared" si="18"/>
        <v/>
      </c>
      <c r="U620">
        <f>IF(COUNTIFS($B$2:B620,B620,$F$2:F620,F620)=1,1,0)</f>
        <v>0</v>
      </c>
      <c r="V620" s="13">
        <f t="shared" si="19"/>
        <v>-3196.8899999999994</v>
      </c>
    </row>
    <row r="621" spans="1:22">
      <c r="A621" t="s">
        <v>932</v>
      </c>
      <c r="B621" t="s">
        <v>129</v>
      </c>
      <c r="C621" t="s">
        <v>130</v>
      </c>
      <c r="D621" t="s">
        <v>73</v>
      </c>
      <c r="E621" t="s">
        <v>74</v>
      </c>
      <c r="F621" t="s">
        <v>38</v>
      </c>
      <c r="G621" t="s">
        <v>27</v>
      </c>
      <c r="H621" t="s">
        <v>907</v>
      </c>
      <c r="I621" t="s">
        <v>30</v>
      </c>
      <c r="J621" t="s">
        <v>30</v>
      </c>
      <c r="K621" t="s">
        <v>41</v>
      </c>
      <c r="L621" s="4">
        <v>45895</v>
      </c>
      <c r="M621" s="4">
        <v>45913</v>
      </c>
      <c r="N621" s="4"/>
      <c r="O621" t="s">
        <v>42</v>
      </c>
      <c r="P621" s="5">
        <v>0</v>
      </c>
      <c r="Q621" s="6">
        <v>30700</v>
      </c>
      <c r="R621" s="6">
        <v>0</v>
      </c>
      <c r="S621">
        <v>3</v>
      </c>
      <c r="T621" t="str">
        <f t="shared" si="18"/>
        <v/>
      </c>
      <c r="U621">
        <f>IF(COUNTIFS($B$2:B621,B621,$F$2:F621,F621)=1,1,0)</f>
        <v>0</v>
      </c>
      <c r="V621" s="13">
        <f t="shared" si="19"/>
        <v>30700</v>
      </c>
    </row>
    <row r="622" spans="1:22">
      <c r="A622" t="s">
        <v>933</v>
      </c>
      <c r="B622" t="s">
        <v>132</v>
      </c>
      <c r="C622" t="s">
        <v>133</v>
      </c>
      <c r="D622" t="s">
        <v>82</v>
      </c>
      <c r="E622" t="s">
        <v>83</v>
      </c>
      <c r="F622" t="s">
        <v>48</v>
      </c>
      <c r="G622" t="s">
        <v>39</v>
      </c>
      <c r="H622" t="s">
        <v>909</v>
      </c>
      <c r="I622" t="s">
        <v>29</v>
      </c>
      <c r="J622" t="s">
        <v>30</v>
      </c>
      <c r="K622" t="s">
        <v>31</v>
      </c>
      <c r="L622" s="4">
        <v>45898</v>
      </c>
      <c r="M622" s="4">
        <v>45902</v>
      </c>
      <c r="N622" s="4"/>
      <c r="O622" t="s">
        <v>42</v>
      </c>
      <c r="P622" s="5">
        <v>0</v>
      </c>
      <c r="Q622" s="6">
        <v>3800</v>
      </c>
      <c r="R622" s="6">
        <v>0</v>
      </c>
      <c r="S622">
        <v>0</v>
      </c>
      <c r="T622" t="str">
        <f t="shared" si="18"/>
        <v/>
      </c>
      <c r="U622">
        <f>IF(COUNTIFS($B$2:B622,B622,$F$2:F622,F622)=1,1,0)</f>
        <v>0</v>
      </c>
      <c r="V622" s="13">
        <f t="shared" si="19"/>
        <v>3800</v>
      </c>
    </row>
    <row r="623" spans="1:22">
      <c r="A623" t="s">
        <v>934</v>
      </c>
      <c r="B623" t="s">
        <v>135</v>
      </c>
      <c r="C623" t="s">
        <v>136</v>
      </c>
      <c r="D623" t="s">
        <v>24</v>
      </c>
      <c r="E623" t="s">
        <v>25</v>
      </c>
      <c r="F623" t="s">
        <v>58</v>
      </c>
      <c r="G623" t="s">
        <v>49</v>
      </c>
      <c r="H623" t="s">
        <v>911</v>
      </c>
      <c r="I623" t="s">
        <v>30</v>
      </c>
      <c r="J623" t="s">
        <v>30</v>
      </c>
      <c r="K623" t="s">
        <v>31</v>
      </c>
      <c r="L623" s="4">
        <v>45981</v>
      </c>
      <c r="M623" s="4">
        <v>46007</v>
      </c>
      <c r="N623" s="4"/>
      <c r="O623" t="s">
        <v>52</v>
      </c>
      <c r="P623" s="5">
        <v>0.75</v>
      </c>
      <c r="Q623" s="6">
        <v>15700</v>
      </c>
      <c r="R623" s="6">
        <v>15778.38</v>
      </c>
      <c r="S623">
        <v>2</v>
      </c>
      <c r="T623" t="str">
        <f t="shared" si="18"/>
        <v/>
      </c>
      <c r="U623">
        <f>IF(COUNTIFS($B$2:B623,B623,$F$2:F623,F623)=1,1,0)</f>
        <v>0</v>
      </c>
      <c r="V623" s="13">
        <f t="shared" si="19"/>
        <v>-78.3799999999992</v>
      </c>
    </row>
    <row r="624" spans="1:22">
      <c r="A624" t="s">
        <v>935</v>
      </c>
      <c r="B624" t="s">
        <v>138</v>
      </c>
      <c r="C624" t="s">
        <v>139</v>
      </c>
      <c r="D624" t="s">
        <v>36</v>
      </c>
      <c r="E624" t="s">
        <v>37</v>
      </c>
      <c r="F624" t="s">
        <v>66</v>
      </c>
      <c r="G624" t="s">
        <v>59</v>
      </c>
      <c r="H624" t="s">
        <v>913</v>
      </c>
      <c r="I624" t="s">
        <v>29</v>
      </c>
      <c r="J624" t="s">
        <v>29</v>
      </c>
      <c r="K624" t="s">
        <v>31</v>
      </c>
      <c r="L624" s="4">
        <v>45996</v>
      </c>
      <c r="M624" s="4">
        <v>46006</v>
      </c>
      <c r="N624" s="4">
        <v>46018</v>
      </c>
      <c r="O624" t="s">
        <v>32</v>
      </c>
      <c r="P624" s="5">
        <v>1</v>
      </c>
      <c r="Q624" s="6">
        <v>39300</v>
      </c>
      <c r="R624" s="6">
        <v>37920.269999999997</v>
      </c>
      <c r="S624">
        <v>2</v>
      </c>
      <c r="T624">
        <f t="shared" si="18"/>
        <v>12</v>
      </c>
      <c r="U624">
        <f>IF(COUNTIFS($B$2:B624,B624,$F$2:F624,F624)=1,1,0)</f>
        <v>0</v>
      </c>
      <c r="V624" s="13">
        <f t="shared" si="19"/>
        <v>1379.7300000000032</v>
      </c>
    </row>
    <row r="625" spans="1:22">
      <c r="A625" t="s">
        <v>936</v>
      </c>
      <c r="B625" t="s">
        <v>141</v>
      </c>
      <c r="C625" t="s">
        <v>142</v>
      </c>
      <c r="D625" t="s">
        <v>46</v>
      </c>
      <c r="E625" t="s">
        <v>47</v>
      </c>
      <c r="F625" t="s">
        <v>75</v>
      </c>
      <c r="G625" t="s">
        <v>67</v>
      </c>
      <c r="H625" t="s">
        <v>915</v>
      </c>
      <c r="I625" t="s">
        <v>29</v>
      </c>
      <c r="J625" t="s">
        <v>30</v>
      </c>
      <c r="K625" t="s">
        <v>178</v>
      </c>
      <c r="L625" s="4">
        <v>45713</v>
      </c>
      <c r="M625" s="4">
        <v>45722</v>
      </c>
      <c r="N625" s="4">
        <v>45717</v>
      </c>
      <c r="O625" t="s">
        <v>32</v>
      </c>
      <c r="P625" s="5">
        <v>1</v>
      </c>
      <c r="Q625" s="6">
        <v>7400</v>
      </c>
      <c r="R625" s="6">
        <v>7772.84</v>
      </c>
      <c r="S625">
        <v>1</v>
      </c>
      <c r="T625">
        <f t="shared" si="18"/>
        <v>0</v>
      </c>
      <c r="U625">
        <f>IF(COUNTIFS($B$2:B625,B625,$F$2:F625,F625)=1,1,0)</f>
        <v>0</v>
      </c>
      <c r="V625" s="13">
        <f t="shared" si="19"/>
        <v>-372.84000000000015</v>
      </c>
    </row>
    <row r="626" spans="1:22">
      <c r="A626" t="s">
        <v>937</v>
      </c>
      <c r="B626" t="s">
        <v>145</v>
      </c>
      <c r="C626" t="s">
        <v>146</v>
      </c>
      <c r="D626" t="s">
        <v>56</v>
      </c>
      <c r="E626" t="s">
        <v>57</v>
      </c>
      <c r="F626" t="s">
        <v>26</v>
      </c>
      <c r="G626" t="s">
        <v>76</v>
      </c>
      <c r="H626" t="s">
        <v>917</v>
      </c>
      <c r="I626" t="s">
        <v>86</v>
      </c>
      <c r="J626" t="s">
        <v>30</v>
      </c>
      <c r="K626" t="s">
        <v>31</v>
      </c>
      <c r="L626" s="4">
        <v>46095</v>
      </c>
      <c r="M626" s="4">
        <v>46099</v>
      </c>
      <c r="N626" s="4"/>
      <c r="O626" t="s">
        <v>52</v>
      </c>
      <c r="P626" s="5">
        <v>0.25</v>
      </c>
      <c r="Q626" s="6">
        <v>38500</v>
      </c>
      <c r="R626" s="6">
        <v>33388.949999999997</v>
      </c>
      <c r="S626">
        <v>0</v>
      </c>
      <c r="T626" t="str">
        <f t="shared" si="18"/>
        <v/>
      </c>
      <c r="U626">
        <f>IF(COUNTIFS($B$2:B626,B626,$F$2:F626,F626)=1,1,0)</f>
        <v>0</v>
      </c>
      <c r="V626" s="13">
        <f t="shared" si="19"/>
        <v>5111.0500000000029</v>
      </c>
    </row>
    <row r="627" spans="1:22">
      <c r="A627" t="s">
        <v>938</v>
      </c>
      <c r="B627" t="s">
        <v>148</v>
      </c>
      <c r="C627" t="s">
        <v>149</v>
      </c>
      <c r="D627" t="s">
        <v>64</v>
      </c>
      <c r="E627" t="s">
        <v>65</v>
      </c>
      <c r="F627" t="s">
        <v>38</v>
      </c>
      <c r="G627" t="s">
        <v>84</v>
      </c>
      <c r="H627" t="s">
        <v>919</v>
      </c>
      <c r="I627" t="s">
        <v>29</v>
      </c>
      <c r="J627" t="s">
        <v>69</v>
      </c>
      <c r="K627" t="s">
        <v>51</v>
      </c>
      <c r="L627" s="4">
        <v>45807</v>
      </c>
      <c r="M627" s="4">
        <v>45828</v>
      </c>
      <c r="N627" s="4"/>
      <c r="O627" t="s">
        <v>109</v>
      </c>
      <c r="P627" s="5">
        <v>0.2</v>
      </c>
      <c r="Q627" s="6">
        <v>5300</v>
      </c>
      <c r="R627" s="6">
        <v>5762.94</v>
      </c>
      <c r="S627">
        <v>4</v>
      </c>
      <c r="T627" t="str">
        <f t="shared" si="18"/>
        <v/>
      </c>
      <c r="U627">
        <f>IF(COUNTIFS($B$2:B627,B627,$F$2:F627,F627)=1,1,0)</f>
        <v>0</v>
      </c>
      <c r="V627" s="13">
        <f t="shared" si="19"/>
        <v>-462.9399999999996</v>
      </c>
    </row>
    <row r="628" spans="1:22">
      <c r="A628" t="s">
        <v>939</v>
      </c>
      <c r="B628" t="s">
        <v>151</v>
      </c>
      <c r="C628" t="s">
        <v>152</v>
      </c>
      <c r="D628" t="s">
        <v>73</v>
      </c>
      <c r="E628" t="s">
        <v>74</v>
      </c>
      <c r="F628" t="s">
        <v>48</v>
      </c>
      <c r="G628" t="s">
        <v>90</v>
      </c>
      <c r="H628" t="s">
        <v>921</v>
      </c>
      <c r="I628" t="s">
        <v>86</v>
      </c>
      <c r="J628" t="s">
        <v>29</v>
      </c>
      <c r="K628" t="s">
        <v>41</v>
      </c>
      <c r="L628" s="4">
        <v>46100</v>
      </c>
      <c r="M628" s="4">
        <v>46103</v>
      </c>
      <c r="N628" s="4">
        <v>46099</v>
      </c>
      <c r="O628" t="s">
        <v>32</v>
      </c>
      <c r="P628" s="5">
        <v>1</v>
      </c>
      <c r="Q628" s="6">
        <v>33500</v>
      </c>
      <c r="R628" s="6">
        <v>34238.980000000003</v>
      </c>
      <c r="S628">
        <v>3</v>
      </c>
      <c r="T628">
        <f t="shared" si="18"/>
        <v>0</v>
      </c>
      <c r="U628">
        <f>IF(COUNTIFS($B$2:B628,B628,$F$2:F628,F628)=1,1,0)</f>
        <v>0</v>
      </c>
      <c r="V628" s="13">
        <f t="shared" si="19"/>
        <v>-738.9800000000032</v>
      </c>
    </row>
    <row r="629" spans="1:22">
      <c r="A629" t="s">
        <v>940</v>
      </c>
      <c r="B629" t="s">
        <v>154</v>
      </c>
      <c r="C629" t="s">
        <v>155</v>
      </c>
      <c r="D629" t="s">
        <v>82</v>
      </c>
      <c r="E629" t="s">
        <v>83</v>
      </c>
      <c r="F629" t="s">
        <v>58</v>
      </c>
      <c r="G629" t="s">
        <v>95</v>
      </c>
      <c r="H629" t="s">
        <v>905</v>
      </c>
      <c r="I629" t="s">
        <v>69</v>
      </c>
      <c r="J629" t="s">
        <v>69</v>
      </c>
      <c r="K629" t="s">
        <v>51</v>
      </c>
      <c r="L629" s="4">
        <v>46033</v>
      </c>
      <c r="M629" s="4">
        <v>46054</v>
      </c>
      <c r="N629" s="4">
        <v>46054</v>
      </c>
      <c r="O629" t="s">
        <v>32</v>
      </c>
      <c r="P629" s="5">
        <v>1</v>
      </c>
      <c r="Q629" s="6">
        <v>44600</v>
      </c>
      <c r="R629" s="6">
        <v>48450.9</v>
      </c>
      <c r="S629">
        <v>3</v>
      </c>
      <c r="T629">
        <f t="shared" si="18"/>
        <v>0</v>
      </c>
      <c r="U629">
        <f>IF(COUNTIFS($B$2:B629,B629,$F$2:F629,F629)=1,1,0)</f>
        <v>0</v>
      </c>
      <c r="V629" s="13">
        <f t="shared" si="19"/>
        <v>-3850.9000000000015</v>
      </c>
    </row>
    <row r="630" spans="1:22">
      <c r="A630" t="s">
        <v>941</v>
      </c>
      <c r="B630" t="s">
        <v>157</v>
      </c>
      <c r="C630" t="s">
        <v>158</v>
      </c>
      <c r="D630" t="s">
        <v>24</v>
      </c>
      <c r="E630" t="s">
        <v>25</v>
      </c>
      <c r="F630" t="s">
        <v>66</v>
      </c>
      <c r="G630" t="s">
        <v>27</v>
      </c>
      <c r="H630" t="s">
        <v>907</v>
      </c>
      <c r="I630" t="s">
        <v>29</v>
      </c>
      <c r="J630" t="s">
        <v>30</v>
      </c>
      <c r="K630" t="s">
        <v>41</v>
      </c>
      <c r="L630" s="4">
        <v>46047</v>
      </c>
      <c r="M630" s="4">
        <v>46064</v>
      </c>
      <c r="N630" s="4">
        <v>46058</v>
      </c>
      <c r="O630" t="s">
        <v>32</v>
      </c>
      <c r="P630" s="5">
        <v>1</v>
      </c>
      <c r="Q630" s="6">
        <v>5100</v>
      </c>
      <c r="R630" s="6">
        <v>5218.68</v>
      </c>
      <c r="S630">
        <v>0</v>
      </c>
      <c r="T630">
        <f t="shared" si="18"/>
        <v>0</v>
      </c>
      <c r="U630">
        <f>IF(COUNTIFS($B$2:B630,B630,$F$2:F630,F630)=1,1,0)</f>
        <v>0</v>
      </c>
      <c r="V630" s="13">
        <f t="shared" si="19"/>
        <v>-118.68000000000029</v>
      </c>
    </row>
    <row r="631" spans="1:22">
      <c r="A631" t="s">
        <v>942</v>
      </c>
      <c r="B631" t="s">
        <v>160</v>
      </c>
      <c r="C631" t="s">
        <v>161</v>
      </c>
      <c r="D631" t="s">
        <v>36</v>
      </c>
      <c r="E631" t="s">
        <v>37</v>
      </c>
      <c r="F631" t="s">
        <v>75</v>
      </c>
      <c r="G631" t="s">
        <v>49</v>
      </c>
      <c r="H631" t="s">
        <v>911</v>
      </c>
      <c r="I631" t="s">
        <v>29</v>
      </c>
      <c r="J631" t="s">
        <v>30</v>
      </c>
      <c r="K631" t="s">
        <v>31</v>
      </c>
      <c r="L631" s="4">
        <v>46003</v>
      </c>
      <c r="M631" s="4">
        <v>46026</v>
      </c>
      <c r="N631" s="4"/>
      <c r="O631" t="s">
        <v>109</v>
      </c>
      <c r="P631" s="5">
        <v>0.1</v>
      </c>
      <c r="Q631" s="6">
        <v>22400</v>
      </c>
      <c r="R631" s="6">
        <v>21550.59</v>
      </c>
      <c r="S631">
        <v>3</v>
      </c>
      <c r="T631" t="str">
        <f t="shared" si="18"/>
        <v/>
      </c>
      <c r="U631">
        <f>IF(COUNTIFS($B$2:B631,B631,$F$2:F631,F631)=1,1,0)</f>
        <v>0</v>
      </c>
      <c r="V631" s="13">
        <f t="shared" si="19"/>
        <v>849.40999999999985</v>
      </c>
    </row>
    <row r="632" spans="1:22">
      <c r="A632" t="s">
        <v>943</v>
      </c>
      <c r="B632" t="s">
        <v>22</v>
      </c>
      <c r="C632" t="s">
        <v>23</v>
      </c>
      <c r="D632" t="s">
        <v>24</v>
      </c>
      <c r="E632" t="s">
        <v>25</v>
      </c>
      <c r="F632" t="s">
        <v>26</v>
      </c>
      <c r="G632" t="s">
        <v>59</v>
      </c>
      <c r="H632" t="s">
        <v>944</v>
      </c>
      <c r="I632" t="s">
        <v>69</v>
      </c>
      <c r="J632" t="s">
        <v>29</v>
      </c>
      <c r="K632" t="s">
        <v>31</v>
      </c>
      <c r="L632" s="4">
        <v>46106</v>
      </c>
      <c r="M632" s="4">
        <v>46123</v>
      </c>
      <c r="N632" s="4">
        <v>46130</v>
      </c>
      <c r="O632" t="s">
        <v>32</v>
      </c>
      <c r="P632" s="5">
        <v>1</v>
      </c>
      <c r="Q632" s="6">
        <v>35900</v>
      </c>
      <c r="R632" s="6">
        <v>33756.589999999997</v>
      </c>
      <c r="S632">
        <v>1</v>
      </c>
      <c r="T632">
        <f t="shared" si="18"/>
        <v>7</v>
      </c>
      <c r="U632">
        <f>IF(COUNTIFS($B$2:B632,B632,$F$2:F632,F632)=1,1,0)</f>
        <v>0</v>
      </c>
      <c r="V632" s="13">
        <f t="shared" si="19"/>
        <v>2143.4100000000035</v>
      </c>
    </row>
    <row r="633" spans="1:22">
      <c r="A633" t="s">
        <v>945</v>
      </c>
      <c r="B633" t="s">
        <v>34</v>
      </c>
      <c r="C633" t="s">
        <v>35</v>
      </c>
      <c r="D633" t="s">
        <v>36</v>
      </c>
      <c r="E633" t="s">
        <v>37</v>
      </c>
      <c r="F633" t="s">
        <v>38</v>
      </c>
      <c r="G633" t="s">
        <v>67</v>
      </c>
      <c r="H633" t="s">
        <v>946</v>
      </c>
      <c r="I633" t="s">
        <v>69</v>
      </c>
      <c r="J633" t="s">
        <v>69</v>
      </c>
      <c r="K633" t="s">
        <v>31</v>
      </c>
      <c r="L633" s="4">
        <v>45805</v>
      </c>
      <c r="M633" s="4">
        <v>45824</v>
      </c>
      <c r="N633" s="4"/>
      <c r="O633" t="s">
        <v>32</v>
      </c>
      <c r="P633" s="5">
        <v>0</v>
      </c>
      <c r="Q633" s="6">
        <v>20000</v>
      </c>
      <c r="R633" s="6">
        <v>0</v>
      </c>
      <c r="S633">
        <v>3</v>
      </c>
      <c r="T633" t="str">
        <f t="shared" si="18"/>
        <v/>
      </c>
      <c r="U633">
        <f>IF(COUNTIFS($B$2:B633,B633,$F$2:F633,F633)=1,1,0)</f>
        <v>0</v>
      </c>
      <c r="V633" s="13">
        <f t="shared" si="19"/>
        <v>20000</v>
      </c>
    </row>
    <row r="634" spans="1:22">
      <c r="A634" t="s">
        <v>947</v>
      </c>
      <c r="B634" t="s">
        <v>44</v>
      </c>
      <c r="C634" t="s">
        <v>45</v>
      </c>
      <c r="D634" t="s">
        <v>46</v>
      </c>
      <c r="E634" t="s">
        <v>47</v>
      </c>
      <c r="F634" t="s">
        <v>48</v>
      </c>
      <c r="G634" t="s">
        <v>76</v>
      </c>
      <c r="H634" t="s">
        <v>948</v>
      </c>
      <c r="I634" t="s">
        <v>29</v>
      </c>
      <c r="J634" t="s">
        <v>29</v>
      </c>
      <c r="K634" t="s">
        <v>78</v>
      </c>
      <c r="L634" s="4">
        <v>45695</v>
      </c>
      <c r="M634" s="4">
        <v>45717</v>
      </c>
      <c r="N634" s="4">
        <v>45736</v>
      </c>
      <c r="O634" t="s">
        <v>32</v>
      </c>
      <c r="P634" s="5">
        <v>1</v>
      </c>
      <c r="Q634" s="6">
        <v>33500</v>
      </c>
      <c r="R634" s="6">
        <v>42532.61</v>
      </c>
      <c r="S634">
        <v>3</v>
      </c>
      <c r="T634">
        <f t="shared" si="18"/>
        <v>19</v>
      </c>
      <c r="U634">
        <f>IF(COUNTIFS($B$2:B634,B634,$F$2:F634,F634)=1,1,0)</f>
        <v>0</v>
      </c>
      <c r="V634" s="13">
        <f t="shared" si="19"/>
        <v>-9032.61</v>
      </c>
    </row>
    <row r="635" spans="1:22">
      <c r="A635" t="s">
        <v>949</v>
      </c>
      <c r="B635" t="s">
        <v>54</v>
      </c>
      <c r="C635" t="s">
        <v>55</v>
      </c>
      <c r="D635" t="s">
        <v>56</v>
      </c>
      <c r="E635" t="s">
        <v>57</v>
      </c>
      <c r="F635" t="s">
        <v>58</v>
      </c>
      <c r="G635" t="s">
        <v>84</v>
      </c>
      <c r="H635" t="s">
        <v>950</v>
      </c>
      <c r="I635" t="s">
        <v>69</v>
      </c>
      <c r="J635" t="s">
        <v>69</v>
      </c>
      <c r="K635" t="s">
        <v>31</v>
      </c>
      <c r="L635" s="4">
        <v>46135</v>
      </c>
      <c r="M635" s="4">
        <v>46152</v>
      </c>
      <c r="N635" s="4">
        <v>46151</v>
      </c>
      <c r="O635" t="s">
        <v>32</v>
      </c>
      <c r="P635" s="5">
        <v>1</v>
      </c>
      <c r="Q635" s="6">
        <v>25800</v>
      </c>
      <c r="R635" s="6">
        <v>28923.38</v>
      </c>
      <c r="S635">
        <v>5</v>
      </c>
      <c r="T635">
        <f t="shared" si="18"/>
        <v>0</v>
      </c>
      <c r="U635">
        <f>IF(COUNTIFS($B$2:B635,B635,$F$2:F635,F635)=1,1,0)</f>
        <v>0</v>
      </c>
      <c r="V635" s="13">
        <f t="shared" si="19"/>
        <v>-3123.380000000001</v>
      </c>
    </row>
    <row r="636" spans="1:22">
      <c r="A636" t="s">
        <v>951</v>
      </c>
      <c r="B636" t="s">
        <v>62</v>
      </c>
      <c r="C636" t="s">
        <v>63</v>
      </c>
      <c r="D636" t="s">
        <v>64</v>
      </c>
      <c r="E636" t="s">
        <v>65</v>
      </c>
      <c r="F636" t="s">
        <v>66</v>
      </c>
      <c r="G636" t="s">
        <v>90</v>
      </c>
      <c r="H636" t="s">
        <v>952</v>
      </c>
      <c r="I636" t="s">
        <v>29</v>
      </c>
      <c r="J636" t="s">
        <v>69</v>
      </c>
      <c r="K636" t="s">
        <v>31</v>
      </c>
      <c r="L636" s="4">
        <v>45832</v>
      </c>
      <c r="M636" s="4">
        <v>45855</v>
      </c>
      <c r="N636" s="4">
        <v>45861</v>
      </c>
      <c r="O636" t="s">
        <v>32</v>
      </c>
      <c r="P636" s="5">
        <v>1</v>
      </c>
      <c r="Q636" s="6">
        <v>42400</v>
      </c>
      <c r="R636" s="6">
        <v>35037.949999999997</v>
      </c>
      <c r="S636">
        <v>1</v>
      </c>
      <c r="T636">
        <f t="shared" si="18"/>
        <v>6</v>
      </c>
      <c r="U636">
        <f>IF(COUNTIFS($B$2:B636,B636,$F$2:F636,F636)=1,1,0)</f>
        <v>0</v>
      </c>
      <c r="V636" s="13">
        <f t="shared" si="19"/>
        <v>7362.0500000000029</v>
      </c>
    </row>
    <row r="637" spans="1:22">
      <c r="A637" t="s">
        <v>953</v>
      </c>
      <c r="B637" t="s">
        <v>71</v>
      </c>
      <c r="C637" t="s">
        <v>72</v>
      </c>
      <c r="D637" t="s">
        <v>73</v>
      </c>
      <c r="E637" t="s">
        <v>74</v>
      </c>
      <c r="F637" t="s">
        <v>75</v>
      </c>
      <c r="G637" t="s">
        <v>95</v>
      </c>
      <c r="H637" t="s">
        <v>954</v>
      </c>
      <c r="I637" t="s">
        <v>29</v>
      </c>
      <c r="J637" t="s">
        <v>29</v>
      </c>
      <c r="K637" t="s">
        <v>31</v>
      </c>
      <c r="L637" s="4">
        <v>45878</v>
      </c>
      <c r="M637" s="4">
        <v>45889</v>
      </c>
      <c r="N637" s="4">
        <v>45889</v>
      </c>
      <c r="O637" t="s">
        <v>32</v>
      </c>
      <c r="P637" s="5">
        <v>1</v>
      </c>
      <c r="Q637" s="6">
        <v>17700</v>
      </c>
      <c r="R637" s="6">
        <v>18357.34</v>
      </c>
      <c r="S637">
        <v>0</v>
      </c>
      <c r="T637">
        <f t="shared" si="18"/>
        <v>0</v>
      </c>
      <c r="U637">
        <f>IF(COUNTIFS($B$2:B637,B637,$F$2:F637,F637)=1,1,0)</f>
        <v>0</v>
      </c>
      <c r="V637" s="13">
        <f t="shared" si="19"/>
        <v>-657.34000000000015</v>
      </c>
    </row>
    <row r="638" spans="1:22">
      <c r="A638" t="s">
        <v>955</v>
      </c>
      <c r="B638" t="s">
        <v>80</v>
      </c>
      <c r="C638" t="s">
        <v>81</v>
      </c>
      <c r="D638" t="s">
        <v>82</v>
      </c>
      <c r="E638" t="s">
        <v>83</v>
      </c>
      <c r="F638" t="s">
        <v>26</v>
      </c>
      <c r="G638" t="s">
        <v>27</v>
      </c>
      <c r="H638" t="s">
        <v>956</v>
      </c>
      <c r="I638" t="s">
        <v>69</v>
      </c>
      <c r="J638" t="s">
        <v>30</v>
      </c>
      <c r="K638" t="s">
        <v>143</v>
      </c>
      <c r="L638" s="4">
        <v>45913</v>
      </c>
      <c r="M638" s="4">
        <v>45925</v>
      </c>
      <c r="N638" s="4"/>
      <c r="O638" t="s">
        <v>32</v>
      </c>
      <c r="P638" s="5">
        <v>0.5</v>
      </c>
      <c r="Q638" s="6">
        <v>36300</v>
      </c>
      <c r="R638" s="6">
        <v>38413.82</v>
      </c>
      <c r="S638">
        <v>3</v>
      </c>
      <c r="T638" t="str">
        <f t="shared" si="18"/>
        <v/>
      </c>
      <c r="U638">
        <f>IF(COUNTIFS($B$2:B638,B638,$F$2:F638,F638)=1,1,0)</f>
        <v>0</v>
      </c>
      <c r="V638" s="13">
        <f t="shared" si="19"/>
        <v>-2113.8199999999997</v>
      </c>
    </row>
    <row r="639" spans="1:22">
      <c r="A639" t="s">
        <v>957</v>
      </c>
      <c r="B639" t="s">
        <v>88</v>
      </c>
      <c r="C639" t="s">
        <v>89</v>
      </c>
      <c r="D639" t="s">
        <v>24</v>
      </c>
      <c r="E639" t="s">
        <v>25</v>
      </c>
      <c r="F639" t="s">
        <v>38</v>
      </c>
      <c r="G639" t="s">
        <v>39</v>
      </c>
      <c r="H639" t="s">
        <v>958</v>
      </c>
      <c r="I639" t="s">
        <v>86</v>
      </c>
      <c r="J639" t="s">
        <v>30</v>
      </c>
      <c r="K639" t="s">
        <v>178</v>
      </c>
      <c r="L639" s="4">
        <v>45851</v>
      </c>
      <c r="M639" s="4">
        <v>45856</v>
      </c>
      <c r="N639" s="4"/>
      <c r="O639" t="s">
        <v>32</v>
      </c>
      <c r="P639" s="5">
        <v>0</v>
      </c>
      <c r="Q639" s="6">
        <v>40600</v>
      </c>
      <c r="R639" s="6">
        <v>0</v>
      </c>
      <c r="S639">
        <v>0</v>
      </c>
      <c r="T639" t="str">
        <f t="shared" si="18"/>
        <v/>
      </c>
      <c r="U639">
        <f>IF(COUNTIFS($B$2:B639,B639,$F$2:F639,F639)=1,1,0)</f>
        <v>0</v>
      </c>
      <c r="V639" s="13">
        <f t="shared" si="19"/>
        <v>40600</v>
      </c>
    </row>
    <row r="640" spans="1:22">
      <c r="A640" t="s">
        <v>959</v>
      </c>
      <c r="B640" t="s">
        <v>93</v>
      </c>
      <c r="C640" t="s">
        <v>94</v>
      </c>
      <c r="D640" t="s">
        <v>36</v>
      </c>
      <c r="E640" t="s">
        <v>37</v>
      </c>
      <c r="F640" t="s">
        <v>48</v>
      </c>
      <c r="G640" t="s">
        <v>49</v>
      </c>
      <c r="H640" t="s">
        <v>960</v>
      </c>
      <c r="I640" t="s">
        <v>30</v>
      </c>
      <c r="J640" t="s">
        <v>30</v>
      </c>
      <c r="K640" t="s">
        <v>78</v>
      </c>
      <c r="L640" s="4">
        <v>46167</v>
      </c>
      <c r="M640" s="4">
        <v>46174</v>
      </c>
      <c r="N640" s="4">
        <v>46193</v>
      </c>
      <c r="O640" t="s">
        <v>32</v>
      </c>
      <c r="P640" s="5">
        <v>1</v>
      </c>
      <c r="Q640" s="6">
        <v>24100</v>
      </c>
      <c r="R640" s="6">
        <v>23042.959999999999</v>
      </c>
      <c r="S640">
        <v>0</v>
      </c>
      <c r="T640">
        <f t="shared" si="18"/>
        <v>19</v>
      </c>
      <c r="U640">
        <f>IF(COUNTIFS($B$2:B640,B640,$F$2:F640,F640)=1,1,0)</f>
        <v>0</v>
      </c>
      <c r="V640" s="13">
        <f t="shared" si="19"/>
        <v>1057.0400000000009</v>
      </c>
    </row>
    <row r="641" spans="1:22">
      <c r="A641" t="s">
        <v>961</v>
      </c>
      <c r="B641" t="s">
        <v>98</v>
      </c>
      <c r="C641" t="s">
        <v>99</v>
      </c>
      <c r="D641" t="s">
        <v>46</v>
      </c>
      <c r="E641" t="s">
        <v>47</v>
      </c>
      <c r="F641" t="s">
        <v>58</v>
      </c>
      <c r="G641" t="s">
        <v>59</v>
      </c>
      <c r="H641" t="s">
        <v>944</v>
      </c>
      <c r="I641" t="s">
        <v>86</v>
      </c>
      <c r="J641" t="s">
        <v>29</v>
      </c>
      <c r="K641" t="s">
        <v>31</v>
      </c>
      <c r="L641" s="4">
        <v>45803</v>
      </c>
      <c r="M641" s="4">
        <v>45819</v>
      </c>
      <c r="N641" s="4"/>
      <c r="O641" t="s">
        <v>52</v>
      </c>
      <c r="P641" s="5">
        <v>0.85</v>
      </c>
      <c r="Q641" s="6">
        <v>2400</v>
      </c>
      <c r="R641" s="6">
        <v>2468.8200000000002</v>
      </c>
      <c r="S641">
        <v>2</v>
      </c>
      <c r="T641" t="str">
        <f t="shared" si="18"/>
        <v/>
      </c>
      <c r="U641">
        <f>IF(COUNTIFS($B$2:B641,B641,$F$2:F641,F641)=1,1,0)</f>
        <v>0</v>
      </c>
      <c r="V641" s="13">
        <f t="shared" si="19"/>
        <v>-68.820000000000164</v>
      </c>
    </row>
    <row r="642" spans="1:22">
      <c r="A642" t="s">
        <v>962</v>
      </c>
      <c r="B642" t="s">
        <v>101</v>
      </c>
      <c r="C642" t="s">
        <v>102</v>
      </c>
      <c r="D642" t="s">
        <v>56</v>
      </c>
      <c r="E642" t="s">
        <v>57</v>
      </c>
      <c r="F642" t="s">
        <v>66</v>
      </c>
      <c r="G642" t="s">
        <v>67</v>
      </c>
      <c r="H642" t="s">
        <v>946</v>
      </c>
      <c r="I642" t="s">
        <v>69</v>
      </c>
      <c r="J642" t="s">
        <v>29</v>
      </c>
      <c r="K642" t="s">
        <v>143</v>
      </c>
      <c r="L642" s="4">
        <v>46094</v>
      </c>
      <c r="M642" s="4">
        <v>46110</v>
      </c>
      <c r="N642" s="4">
        <v>46105</v>
      </c>
      <c r="O642" t="s">
        <v>32</v>
      </c>
      <c r="P642" s="5">
        <v>1</v>
      </c>
      <c r="Q642" s="6">
        <v>22600</v>
      </c>
      <c r="R642" s="6">
        <v>19425.22</v>
      </c>
      <c r="S642">
        <v>1</v>
      </c>
      <c r="T642">
        <f t="shared" ref="T642:T705" si="20">IF(N642="","",MAX(0,N642-M642))</f>
        <v>0</v>
      </c>
      <c r="U642">
        <f>IF(COUNTIFS($B$2:B642,B642,$F$2:F642,F642)=1,1,0)</f>
        <v>0</v>
      </c>
      <c r="V642" s="13">
        <f t="shared" ref="V642:V705" si="21">Q642-R642</f>
        <v>3174.7799999999988</v>
      </c>
    </row>
    <row r="643" spans="1:22">
      <c r="A643" t="s">
        <v>963</v>
      </c>
      <c r="B643" t="s">
        <v>104</v>
      </c>
      <c r="C643" t="s">
        <v>105</v>
      </c>
      <c r="D643" t="s">
        <v>64</v>
      </c>
      <c r="E643" t="s">
        <v>65</v>
      </c>
      <c r="F643" t="s">
        <v>75</v>
      </c>
      <c r="G643" t="s">
        <v>76</v>
      </c>
      <c r="H643" t="s">
        <v>948</v>
      </c>
      <c r="I643" t="s">
        <v>29</v>
      </c>
      <c r="J643" t="s">
        <v>30</v>
      </c>
      <c r="K643" t="s">
        <v>143</v>
      </c>
      <c r="L643" s="4">
        <v>46120</v>
      </c>
      <c r="M643" s="4">
        <v>46128</v>
      </c>
      <c r="N643" s="4">
        <v>46123</v>
      </c>
      <c r="O643" t="s">
        <v>32</v>
      </c>
      <c r="P643" s="5">
        <v>1</v>
      </c>
      <c r="Q643" s="6">
        <v>11400</v>
      </c>
      <c r="R643" s="6">
        <v>10911.29</v>
      </c>
      <c r="S643">
        <v>2</v>
      </c>
      <c r="T643">
        <f t="shared" si="20"/>
        <v>0</v>
      </c>
      <c r="U643">
        <f>IF(COUNTIFS($B$2:B643,B643,$F$2:F643,F643)=1,1,0)</f>
        <v>0</v>
      </c>
      <c r="V643" s="13">
        <f t="shared" si="21"/>
        <v>488.70999999999913</v>
      </c>
    </row>
    <row r="644" spans="1:22">
      <c r="A644" t="s">
        <v>964</v>
      </c>
      <c r="B644" t="s">
        <v>107</v>
      </c>
      <c r="C644" t="s">
        <v>108</v>
      </c>
      <c r="D644" t="s">
        <v>73</v>
      </c>
      <c r="E644" t="s">
        <v>74</v>
      </c>
      <c r="F644" t="s">
        <v>26</v>
      </c>
      <c r="G644" t="s">
        <v>84</v>
      </c>
      <c r="H644" t="s">
        <v>950</v>
      </c>
      <c r="I644" t="s">
        <v>69</v>
      </c>
      <c r="J644" t="s">
        <v>30</v>
      </c>
      <c r="K644" t="s">
        <v>31</v>
      </c>
      <c r="L644" s="4">
        <v>45984</v>
      </c>
      <c r="M644" s="4">
        <v>46006</v>
      </c>
      <c r="N644" s="4">
        <v>46007</v>
      </c>
      <c r="O644" t="s">
        <v>32</v>
      </c>
      <c r="P644" s="5">
        <v>1</v>
      </c>
      <c r="Q644" s="6">
        <v>43800</v>
      </c>
      <c r="R644" s="6">
        <v>40840.6</v>
      </c>
      <c r="S644">
        <v>2</v>
      </c>
      <c r="T644">
        <f t="shared" si="20"/>
        <v>1</v>
      </c>
      <c r="U644">
        <f>IF(COUNTIFS($B$2:B644,B644,$F$2:F644,F644)=1,1,0)</f>
        <v>0</v>
      </c>
      <c r="V644" s="13">
        <f t="shared" si="21"/>
        <v>2959.4000000000015</v>
      </c>
    </row>
    <row r="645" spans="1:22">
      <c r="A645" t="s">
        <v>965</v>
      </c>
      <c r="B645" t="s">
        <v>111</v>
      </c>
      <c r="C645" t="s">
        <v>112</v>
      </c>
      <c r="D645" t="s">
        <v>82</v>
      </c>
      <c r="E645" t="s">
        <v>83</v>
      </c>
      <c r="F645" t="s">
        <v>38</v>
      </c>
      <c r="G645" t="s">
        <v>90</v>
      </c>
      <c r="H645" t="s">
        <v>952</v>
      </c>
      <c r="I645" t="s">
        <v>69</v>
      </c>
      <c r="J645" t="s">
        <v>30</v>
      </c>
      <c r="K645" t="s">
        <v>31</v>
      </c>
      <c r="L645" s="4">
        <v>45717</v>
      </c>
      <c r="M645" s="4">
        <v>45730</v>
      </c>
      <c r="N645" s="4">
        <v>45723</v>
      </c>
      <c r="O645" t="s">
        <v>32</v>
      </c>
      <c r="P645" s="5">
        <v>1</v>
      </c>
      <c r="Q645" s="6">
        <v>20700</v>
      </c>
      <c r="R645" s="6">
        <v>20060.05</v>
      </c>
      <c r="S645">
        <v>2</v>
      </c>
      <c r="T645">
        <f t="shared" si="20"/>
        <v>0</v>
      </c>
      <c r="U645">
        <f>IF(COUNTIFS($B$2:B645,B645,$F$2:F645,F645)=1,1,0)</f>
        <v>0</v>
      </c>
      <c r="V645" s="13">
        <f t="shared" si="21"/>
        <v>639.95000000000073</v>
      </c>
    </row>
    <row r="646" spans="1:22">
      <c r="A646" t="s">
        <v>966</v>
      </c>
      <c r="B646" t="s">
        <v>114</v>
      </c>
      <c r="C646" t="s">
        <v>115</v>
      </c>
      <c r="D646" t="s">
        <v>24</v>
      </c>
      <c r="E646" t="s">
        <v>25</v>
      </c>
      <c r="F646" t="s">
        <v>48</v>
      </c>
      <c r="G646" t="s">
        <v>95</v>
      </c>
      <c r="H646" t="s">
        <v>954</v>
      </c>
      <c r="I646" t="s">
        <v>69</v>
      </c>
      <c r="J646" t="s">
        <v>29</v>
      </c>
      <c r="K646" t="s">
        <v>178</v>
      </c>
      <c r="L646" s="4">
        <v>46002</v>
      </c>
      <c r="M646" s="4">
        <v>46016</v>
      </c>
      <c r="N646" s="4"/>
      <c r="O646" t="s">
        <v>52</v>
      </c>
      <c r="P646" s="5">
        <v>0.4</v>
      </c>
      <c r="Q646" s="6">
        <v>24700</v>
      </c>
      <c r="R646" s="6">
        <v>25635.08</v>
      </c>
      <c r="S646">
        <v>2</v>
      </c>
      <c r="T646" t="str">
        <f t="shared" si="20"/>
        <v/>
      </c>
      <c r="U646">
        <f>IF(COUNTIFS($B$2:B646,B646,$F$2:F646,F646)=1,1,0)</f>
        <v>0</v>
      </c>
      <c r="V646" s="13">
        <f t="shared" si="21"/>
        <v>-935.08000000000175</v>
      </c>
    </row>
    <row r="647" spans="1:22">
      <c r="A647" t="s">
        <v>967</v>
      </c>
      <c r="B647" t="s">
        <v>117</v>
      </c>
      <c r="C647" t="s">
        <v>118</v>
      </c>
      <c r="D647" t="s">
        <v>36</v>
      </c>
      <c r="E647" t="s">
        <v>37</v>
      </c>
      <c r="F647" t="s">
        <v>58</v>
      </c>
      <c r="G647" t="s">
        <v>27</v>
      </c>
      <c r="H647" t="s">
        <v>956</v>
      </c>
      <c r="I647" t="s">
        <v>86</v>
      </c>
      <c r="J647" t="s">
        <v>29</v>
      </c>
      <c r="K647" t="s">
        <v>178</v>
      </c>
      <c r="L647" s="4">
        <v>45960</v>
      </c>
      <c r="M647" s="4">
        <v>45967</v>
      </c>
      <c r="N647" s="4"/>
      <c r="O647" t="s">
        <v>42</v>
      </c>
      <c r="P647" s="5">
        <v>0</v>
      </c>
      <c r="Q647" s="6">
        <v>33600</v>
      </c>
      <c r="R647" s="6">
        <v>0</v>
      </c>
      <c r="S647">
        <v>2</v>
      </c>
      <c r="T647" t="str">
        <f t="shared" si="20"/>
        <v/>
      </c>
      <c r="U647">
        <f>IF(COUNTIFS($B$2:B647,B647,$F$2:F647,F647)=1,1,0)</f>
        <v>0</v>
      </c>
      <c r="V647" s="13">
        <f t="shared" si="21"/>
        <v>33600</v>
      </c>
    </row>
    <row r="648" spans="1:22">
      <c r="A648" t="s">
        <v>968</v>
      </c>
      <c r="B648" t="s">
        <v>120</v>
      </c>
      <c r="C648" t="s">
        <v>121</v>
      </c>
      <c r="D648" t="s">
        <v>46</v>
      </c>
      <c r="E648" t="s">
        <v>47</v>
      </c>
      <c r="F648" t="s">
        <v>66</v>
      </c>
      <c r="G648" t="s">
        <v>39</v>
      </c>
      <c r="H648" t="s">
        <v>958</v>
      </c>
      <c r="I648" t="s">
        <v>69</v>
      </c>
      <c r="J648" t="s">
        <v>30</v>
      </c>
      <c r="K648" t="s">
        <v>31</v>
      </c>
      <c r="L648" s="4">
        <v>45825</v>
      </c>
      <c r="M648" s="4">
        <v>45849</v>
      </c>
      <c r="N648" s="4"/>
      <c r="O648" t="s">
        <v>42</v>
      </c>
      <c r="P648" s="5">
        <v>0</v>
      </c>
      <c r="Q648" s="6">
        <v>26100</v>
      </c>
      <c r="R648" s="6">
        <v>0</v>
      </c>
      <c r="S648">
        <v>0</v>
      </c>
      <c r="T648" t="str">
        <f t="shared" si="20"/>
        <v/>
      </c>
      <c r="U648">
        <f>IF(COUNTIFS($B$2:B648,B648,$F$2:F648,F648)=1,1,0)</f>
        <v>0</v>
      </c>
      <c r="V648" s="13">
        <f t="shared" si="21"/>
        <v>26100</v>
      </c>
    </row>
    <row r="649" spans="1:22">
      <c r="A649" t="s">
        <v>969</v>
      </c>
      <c r="B649" t="s">
        <v>123</v>
      </c>
      <c r="C649" t="s">
        <v>124</v>
      </c>
      <c r="D649" t="s">
        <v>56</v>
      </c>
      <c r="E649" t="s">
        <v>57</v>
      </c>
      <c r="F649" t="s">
        <v>75</v>
      </c>
      <c r="G649" t="s">
        <v>49</v>
      </c>
      <c r="H649" t="s">
        <v>960</v>
      </c>
      <c r="I649" t="s">
        <v>69</v>
      </c>
      <c r="J649" t="s">
        <v>29</v>
      </c>
      <c r="K649" t="s">
        <v>178</v>
      </c>
      <c r="L649" s="4">
        <v>45713</v>
      </c>
      <c r="M649" s="4">
        <v>45737</v>
      </c>
      <c r="N649" s="4">
        <v>45736</v>
      </c>
      <c r="O649" t="s">
        <v>32</v>
      </c>
      <c r="P649" s="5">
        <v>1</v>
      </c>
      <c r="Q649" s="6">
        <v>38100</v>
      </c>
      <c r="R649" s="6">
        <v>42829.68</v>
      </c>
      <c r="S649">
        <v>1</v>
      </c>
      <c r="T649">
        <f t="shared" si="20"/>
        <v>0</v>
      </c>
      <c r="U649">
        <f>IF(COUNTIFS($B$2:B649,B649,$F$2:F649,F649)=1,1,0)</f>
        <v>0</v>
      </c>
      <c r="V649" s="13">
        <f t="shared" si="21"/>
        <v>-4729.68</v>
      </c>
    </row>
    <row r="650" spans="1:22">
      <c r="A650" t="s">
        <v>970</v>
      </c>
      <c r="B650" t="s">
        <v>126</v>
      </c>
      <c r="C650" t="s">
        <v>127</v>
      </c>
      <c r="D650" t="s">
        <v>64</v>
      </c>
      <c r="E650" t="s">
        <v>65</v>
      </c>
      <c r="F650" t="s">
        <v>26</v>
      </c>
      <c r="G650" t="s">
        <v>59</v>
      </c>
      <c r="H650" t="s">
        <v>944</v>
      </c>
      <c r="I650" t="s">
        <v>30</v>
      </c>
      <c r="J650" t="s">
        <v>29</v>
      </c>
      <c r="K650" t="s">
        <v>51</v>
      </c>
      <c r="L650" s="4">
        <v>45766</v>
      </c>
      <c r="M650" s="4">
        <v>45794</v>
      </c>
      <c r="N650" s="4">
        <v>45797</v>
      </c>
      <c r="O650" t="s">
        <v>32</v>
      </c>
      <c r="P650" s="5">
        <v>1</v>
      </c>
      <c r="Q650" s="6">
        <v>13600</v>
      </c>
      <c r="R650" s="6">
        <v>15713.56</v>
      </c>
      <c r="S650">
        <v>2</v>
      </c>
      <c r="T650">
        <f t="shared" si="20"/>
        <v>3</v>
      </c>
      <c r="U650">
        <f>IF(COUNTIFS($B$2:B650,B650,$F$2:F650,F650)=1,1,0)</f>
        <v>0</v>
      </c>
      <c r="V650" s="13">
        <f t="shared" si="21"/>
        <v>-2113.5599999999995</v>
      </c>
    </row>
    <row r="651" spans="1:22">
      <c r="A651" t="s">
        <v>971</v>
      </c>
      <c r="B651" t="s">
        <v>129</v>
      </c>
      <c r="C651" t="s">
        <v>130</v>
      </c>
      <c r="D651" t="s">
        <v>73</v>
      </c>
      <c r="E651" t="s">
        <v>74</v>
      </c>
      <c r="F651" t="s">
        <v>38</v>
      </c>
      <c r="G651" t="s">
        <v>67</v>
      </c>
      <c r="H651" t="s">
        <v>946</v>
      </c>
      <c r="I651" t="s">
        <v>29</v>
      </c>
      <c r="J651" t="s">
        <v>29</v>
      </c>
      <c r="K651" t="s">
        <v>31</v>
      </c>
      <c r="L651" s="4">
        <v>45905</v>
      </c>
      <c r="M651" s="4">
        <v>45920</v>
      </c>
      <c r="N651" s="4"/>
      <c r="O651" t="s">
        <v>52</v>
      </c>
      <c r="P651" s="5">
        <v>0.5</v>
      </c>
      <c r="Q651" s="6">
        <v>27700</v>
      </c>
      <c r="R651" s="6">
        <v>27221.83</v>
      </c>
      <c r="S651">
        <v>2</v>
      </c>
      <c r="T651" t="str">
        <f t="shared" si="20"/>
        <v/>
      </c>
      <c r="U651">
        <f>IF(COUNTIFS($B$2:B651,B651,$F$2:F651,F651)=1,1,0)</f>
        <v>0</v>
      </c>
      <c r="V651" s="13">
        <f t="shared" si="21"/>
        <v>478.16999999999825</v>
      </c>
    </row>
    <row r="652" spans="1:22">
      <c r="A652" t="s">
        <v>972</v>
      </c>
      <c r="B652" t="s">
        <v>132</v>
      </c>
      <c r="C652" t="s">
        <v>133</v>
      </c>
      <c r="D652" t="s">
        <v>82</v>
      </c>
      <c r="E652" t="s">
        <v>83</v>
      </c>
      <c r="F652" t="s">
        <v>48</v>
      </c>
      <c r="G652" t="s">
        <v>76</v>
      </c>
      <c r="H652" t="s">
        <v>948</v>
      </c>
      <c r="I652" t="s">
        <v>69</v>
      </c>
      <c r="J652" t="s">
        <v>30</v>
      </c>
      <c r="K652" t="s">
        <v>78</v>
      </c>
      <c r="L652" s="4">
        <v>45891</v>
      </c>
      <c r="M652" s="4">
        <v>45905</v>
      </c>
      <c r="N652" s="4"/>
      <c r="O652" t="s">
        <v>52</v>
      </c>
      <c r="P652" s="5">
        <v>0.25</v>
      </c>
      <c r="Q652" s="6">
        <v>13900</v>
      </c>
      <c r="R652" s="6">
        <v>11673</v>
      </c>
      <c r="S652">
        <v>4</v>
      </c>
      <c r="T652" t="str">
        <f t="shared" si="20"/>
        <v/>
      </c>
      <c r="U652">
        <f>IF(COUNTIFS($B$2:B652,B652,$F$2:F652,F652)=1,1,0)</f>
        <v>0</v>
      </c>
      <c r="V652" s="13">
        <f t="shared" si="21"/>
        <v>2227</v>
      </c>
    </row>
    <row r="653" spans="1:22">
      <c r="A653" t="s">
        <v>973</v>
      </c>
      <c r="B653" t="s">
        <v>135</v>
      </c>
      <c r="C653" t="s">
        <v>136</v>
      </c>
      <c r="D653" t="s">
        <v>24</v>
      </c>
      <c r="E653" t="s">
        <v>25</v>
      </c>
      <c r="F653" t="s">
        <v>58</v>
      </c>
      <c r="G653" t="s">
        <v>84</v>
      </c>
      <c r="H653" t="s">
        <v>950</v>
      </c>
      <c r="I653" t="s">
        <v>69</v>
      </c>
      <c r="J653" t="s">
        <v>30</v>
      </c>
      <c r="K653" t="s">
        <v>78</v>
      </c>
      <c r="L653" s="4">
        <v>46034</v>
      </c>
      <c r="M653" s="4">
        <v>46060</v>
      </c>
      <c r="N653" s="4"/>
      <c r="O653" t="s">
        <v>109</v>
      </c>
      <c r="P653" s="5">
        <v>0.5</v>
      </c>
      <c r="Q653" s="6">
        <v>14100</v>
      </c>
      <c r="R653" s="6">
        <v>15792.08</v>
      </c>
      <c r="S653">
        <v>0</v>
      </c>
      <c r="T653" t="str">
        <f t="shared" si="20"/>
        <v/>
      </c>
      <c r="U653">
        <f>IF(COUNTIFS($B$2:B653,B653,$F$2:F653,F653)=1,1,0)</f>
        <v>0</v>
      </c>
      <c r="V653" s="13">
        <f t="shared" si="21"/>
        <v>-1692.08</v>
      </c>
    </row>
    <row r="654" spans="1:22">
      <c r="A654" t="s">
        <v>974</v>
      </c>
      <c r="B654" t="s">
        <v>138</v>
      </c>
      <c r="C654" t="s">
        <v>139</v>
      </c>
      <c r="D654" t="s">
        <v>36</v>
      </c>
      <c r="E654" t="s">
        <v>37</v>
      </c>
      <c r="F654" t="s">
        <v>66</v>
      </c>
      <c r="G654" t="s">
        <v>90</v>
      </c>
      <c r="H654" t="s">
        <v>952</v>
      </c>
      <c r="I654" t="s">
        <v>29</v>
      </c>
      <c r="J654" t="s">
        <v>69</v>
      </c>
      <c r="K654" t="s">
        <v>31</v>
      </c>
      <c r="L654" s="4">
        <v>46121</v>
      </c>
      <c r="M654" s="4">
        <v>46143</v>
      </c>
      <c r="N654" s="4"/>
      <c r="O654" t="s">
        <v>42</v>
      </c>
      <c r="P654" s="5">
        <v>0</v>
      </c>
      <c r="Q654" s="6">
        <v>10500</v>
      </c>
      <c r="R654" s="6">
        <v>0</v>
      </c>
      <c r="S654">
        <v>3</v>
      </c>
      <c r="T654" t="str">
        <f t="shared" si="20"/>
        <v/>
      </c>
      <c r="U654">
        <f>IF(COUNTIFS($B$2:B654,B654,$F$2:F654,F654)=1,1,0)</f>
        <v>0</v>
      </c>
      <c r="V654" s="13">
        <f t="shared" si="21"/>
        <v>10500</v>
      </c>
    </row>
    <row r="655" spans="1:22">
      <c r="A655" t="s">
        <v>975</v>
      </c>
      <c r="B655" t="s">
        <v>141</v>
      </c>
      <c r="C655" t="s">
        <v>142</v>
      </c>
      <c r="D655" t="s">
        <v>46</v>
      </c>
      <c r="E655" t="s">
        <v>47</v>
      </c>
      <c r="F655" t="s">
        <v>75</v>
      </c>
      <c r="G655" t="s">
        <v>95</v>
      </c>
      <c r="H655" t="s">
        <v>954</v>
      </c>
      <c r="I655" t="s">
        <v>86</v>
      </c>
      <c r="J655" t="s">
        <v>30</v>
      </c>
      <c r="K655" t="s">
        <v>178</v>
      </c>
      <c r="L655" s="4">
        <v>45772</v>
      </c>
      <c r="M655" s="4">
        <v>45777</v>
      </c>
      <c r="N655" s="4"/>
      <c r="O655" t="s">
        <v>42</v>
      </c>
      <c r="P655" s="5">
        <v>0</v>
      </c>
      <c r="Q655" s="6">
        <v>29300</v>
      </c>
      <c r="R655" s="6">
        <v>0</v>
      </c>
      <c r="S655">
        <v>2</v>
      </c>
      <c r="T655" t="str">
        <f t="shared" si="20"/>
        <v/>
      </c>
      <c r="U655">
        <f>IF(COUNTIFS($B$2:B655,B655,$F$2:F655,F655)=1,1,0)</f>
        <v>0</v>
      </c>
      <c r="V655" s="13">
        <f t="shared" si="21"/>
        <v>29300</v>
      </c>
    </row>
    <row r="656" spans="1:22">
      <c r="A656" t="s">
        <v>976</v>
      </c>
      <c r="B656" t="s">
        <v>145</v>
      </c>
      <c r="C656" t="s">
        <v>146</v>
      </c>
      <c r="D656" t="s">
        <v>56</v>
      </c>
      <c r="E656" t="s">
        <v>57</v>
      </c>
      <c r="F656" t="s">
        <v>26</v>
      </c>
      <c r="G656" t="s">
        <v>27</v>
      </c>
      <c r="H656" t="s">
        <v>956</v>
      </c>
      <c r="I656" t="s">
        <v>29</v>
      </c>
      <c r="J656" t="s">
        <v>29</v>
      </c>
      <c r="K656" t="s">
        <v>178</v>
      </c>
      <c r="L656" s="4">
        <v>46001</v>
      </c>
      <c r="M656" s="4">
        <v>46009</v>
      </c>
      <c r="N656" s="4">
        <v>46009</v>
      </c>
      <c r="O656" t="s">
        <v>32</v>
      </c>
      <c r="P656" s="5">
        <v>1</v>
      </c>
      <c r="Q656" s="6">
        <v>37300</v>
      </c>
      <c r="R656" s="6">
        <v>42665.72</v>
      </c>
      <c r="S656">
        <v>1</v>
      </c>
      <c r="T656">
        <f t="shared" si="20"/>
        <v>0</v>
      </c>
      <c r="U656">
        <f>IF(COUNTIFS($B$2:B656,B656,$F$2:F656,F656)=1,1,0)</f>
        <v>0</v>
      </c>
      <c r="V656" s="13">
        <f t="shared" si="21"/>
        <v>-5365.7200000000012</v>
      </c>
    </row>
    <row r="657" spans="1:22">
      <c r="A657" t="s">
        <v>977</v>
      </c>
      <c r="B657" t="s">
        <v>148</v>
      </c>
      <c r="C657" t="s">
        <v>149</v>
      </c>
      <c r="D657" t="s">
        <v>64</v>
      </c>
      <c r="E657" t="s">
        <v>65</v>
      </c>
      <c r="F657" t="s">
        <v>38</v>
      </c>
      <c r="G657" t="s">
        <v>39</v>
      </c>
      <c r="H657" t="s">
        <v>958</v>
      </c>
      <c r="I657" t="s">
        <v>29</v>
      </c>
      <c r="J657" t="s">
        <v>29</v>
      </c>
      <c r="K657" t="s">
        <v>31</v>
      </c>
      <c r="L657" s="4">
        <v>45764</v>
      </c>
      <c r="M657" s="4">
        <v>45771</v>
      </c>
      <c r="N657" s="4"/>
      <c r="O657" t="s">
        <v>52</v>
      </c>
      <c r="P657" s="5">
        <v>0.85</v>
      </c>
      <c r="Q657" s="6">
        <v>37800</v>
      </c>
      <c r="R657" s="6">
        <v>43780.41</v>
      </c>
      <c r="S657">
        <v>0</v>
      </c>
      <c r="T657" t="str">
        <f t="shared" si="20"/>
        <v/>
      </c>
      <c r="U657">
        <f>IF(COUNTIFS($B$2:B657,B657,$F$2:F657,F657)=1,1,0)</f>
        <v>0</v>
      </c>
      <c r="V657" s="13">
        <f t="shared" si="21"/>
        <v>-5980.4100000000035</v>
      </c>
    </row>
    <row r="658" spans="1:22">
      <c r="A658" t="s">
        <v>978</v>
      </c>
      <c r="B658" t="s">
        <v>151</v>
      </c>
      <c r="C658" t="s">
        <v>152</v>
      </c>
      <c r="D658" t="s">
        <v>73</v>
      </c>
      <c r="E658" t="s">
        <v>74</v>
      </c>
      <c r="F658" t="s">
        <v>48</v>
      </c>
      <c r="G658" t="s">
        <v>49</v>
      </c>
      <c r="H658" t="s">
        <v>960</v>
      </c>
      <c r="I658" t="s">
        <v>69</v>
      </c>
      <c r="J658" t="s">
        <v>30</v>
      </c>
      <c r="K658" t="s">
        <v>143</v>
      </c>
      <c r="L658" s="4">
        <v>46091</v>
      </c>
      <c r="M658" s="4">
        <v>46094</v>
      </c>
      <c r="N658" s="4"/>
      <c r="O658" t="s">
        <v>42</v>
      </c>
      <c r="P658" s="5">
        <v>0</v>
      </c>
      <c r="Q658" s="6">
        <v>13600</v>
      </c>
      <c r="R658" s="6">
        <v>0</v>
      </c>
      <c r="S658">
        <v>2</v>
      </c>
      <c r="T658" t="str">
        <f t="shared" si="20"/>
        <v/>
      </c>
      <c r="U658">
        <f>IF(COUNTIFS($B$2:B658,B658,$F$2:F658,F658)=1,1,0)</f>
        <v>0</v>
      </c>
      <c r="V658" s="13">
        <f t="shared" si="21"/>
        <v>13600</v>
      </c>
    </row>
    <row r="659" spans="1:22">
      <c r="A659" t="s">
        <v>979</v>
      </c>
      <c r="B659" t="s">
        <v>154</v>
      </c>
      <c r="C659" t="s">
        <v>155</v>
      </c>
      <c r="D659" t="s">
        <v>82</v>
      </c>
      <c r="E659" t="s">
        <v>83</v>
      </c>
      <c r="F659" t="s">
        <v>58</v>
      </c>
      <c r="G659" t="s">
        <v>59</v>
      </c>
      <c r="H659" t="s">
        <v>944</v>
      </c>
      <c r="I659" t="s">
        <v>69</v>
      </c>
      <c r="J659" t="s">
        <v>29</v>
      </c>
      <c r="K659" t="s">
        <v>143</v>
      </c>
      <c r="L659" s="4">
        <v>46061</v>
      </c>
      <c r="M659" s="4">
        <v>46084</v>
      </c>
      <c r="N659" s="4">
        <v>46086</v>
      </c>
      <c r="O659" t="s">
        <v>32</v>
      </c>
      <c r="P659" s="5">
        <v>1</v>
      </c>
      <c r="Q659" s="6">
        <v>43900</v>
      </c>
      <c r="R659" s="6">
        <v>46719.62</v>
      </c>
      <c r="S659">
        <v>1</v>
      </c>
      <c r="T659">
        <f t="shared" si="20"/>
        <v>2</v>
      </c>
      <c r="U659">
        <f>IF(COUNTIFS($B$2:B659,B659,$F$2:F659,F659)=1,1,0)</f>
        <v>0</v>
      </c>
      <c r="V659" s="13">
        <f t="shared" si="21"/>
        <v>-2819.6200000000026</v>
      </c>
    </row>
    <row r="660" spans="1:22">
      <c r="A660" t="s">
        <v>980</v>
      </c>
      <c r="B660" t="s">
        <v>157</v>
      </c>
      <c r="C660" t="s">
        <v>158</v>
      </c>
      <c r="D660" t="s">
        <v>24</v>
      </c>
      <c r="E660" t="s">
        <v>25</v>
      </c>
      <c r="F660" t="s">
        <v>66</v>
      </c>
      <c r="G660" t="s">
        <v>67</v>
      </c>
      <c r="H660" t="s">
        <v>946</v>
      </c>
      <c r="I660" t="s">
        <v>69</v>
      </c>
      <c r="J660" t="s">
        <v>30</v>
      </c>
      <c r="K660" t="s">
        <v>31</v>
      </c>
      <c r="L660" s="4">
        <v>46170</v>
      </c>
      <c r="M660" s="4">
        <v>46174</v>
      </c>
      <c r="N660" s="4"/>
      <c r="O660" t="s">
        <v>42</v>
      </c>
      <c r="P660" s="5">
        <v>0</v>
      </c>
      <c r="Q660" s="6">
        <v>21600</v>
      </c>
      <c r="R660" s="6">
        <v>0</v>
      </c>
      <c r="S660">
        <v>0</v>
      </c>
      <c r="T660" t="str">
        <f t="shared" si="20"/>
        <v/>
      </c>
      <c r="U660">
        <f>IF(COUNTIFS($B$2:B660,B660,$F$2:F660,F660)=1,1,0)</f>
        <v>0</v>
      </c>
      <c r="V660" s="13">
        <f t="shared" si="21"/>
        <v>21600</v>
      </c>
    </row>
    <row r="661" spans="1:22">
      <c r="A661" t="s">
        <v>981</v>
      </c>
      <c r="B661" t="s">
        <v>160</v>
      </c>
      <c r="C661" t="s">
        <v>161</v>
      </c>
      <c r="D661" t="s">
        <v>36</v>
      </c>
      <c r="E661" t="s">
        <v>37</v>
      </c>
      <c r="F661" t="s">
        <v>75</v>
      </c>
      <c r="G661" t="s">
        <v>84</v>
      </c>
      <c r="H661" t="s">
        <v>950</v>
      </c>
      <c r="I661" t="s">
        <v>30</v>
      </c>
      <c r="J661" t="s">
        <v>30</v>
      </c>
      <c r="K661" t="s">
        <v>51</v>
      </c>
      <c r="L661" s="4">
        <v>46033</v>
      </c>
      <c r="M661" s="4">
        <v>46037</v>
      </c>
      <c r="N661" s="4"/>
      <c r="O661" t="s">
        <v>52</v>
      </c>
      <c r="P661" s="5">
        <v>0.75</v>
      </c>
      <c r="Q661" s="6">
        <v>29300</v>
      </c>
      <c r="R661" s="6">
        <v>31759.9</v>
      </c>
      <c r="S661">
        <v>2</v>
      </c>
      <c r="T661" t="str">
        <f t="shared" si="20"/>
        <v/>
      </c>
      <c r="U661">
        <f>IF(COUNTIFS($B$2:B661,B661,$F$2:F661,F661)=1,1,0)</f>
        <v>0</v>
      </c>
      <c r="V661" s="13">
        <f t="shared" si="21"/>
        <v>-2459.9000000000015</v>
      </c>
    </row>
    <row r="662" spans="1:22">
      <c r="A662" t="s">
        <v>982</v>
      </c>
      <c r="B662" t="s">
        <v>22</v>
      </c>
      <c r="C662" t="s">
        <v>23</v>
      </c>
      <c r="D662" t="s">
        <v>24</v>
      </c>
      <c r="E662" t="s">
        <v>25</v>
      </c>
      <c r="F662" t="s">
        <v>26</v>
      </c>
      <c r="G662" t="s">
        <v>90</v>
      </c>
      <c r="H662" t="s">
        <v>983</v>
      </c>
      <c r="I662" t="s">
        <v>69</v>
      </c>
      <c r="J662" t="s">
        <v>29</v>
      </c>
      <c r="K662" t="s">
        <v>51</v>
      </c>
      <c r="L662" s="4">
        <v>46032</v>
      </c>
      <c r="M662" s="4">
        <v>46052</v>
      </c>
      <c r="N662" s="4"/>
      <c r="O662" t="s">
        <v>32</v>
      </c>
      <c r="P662" s="5">
        <v>0.5</v>
      </c>
      <c r="Q662" s="6">
        <v>37500</v>
      </c>
      <c r="R662" s="6">
        <v>36862.71</v>
      </c>
      <c r="S662">
        <v>1</v>
      </c>
      <c r="T662" t="str">
        <f t="shared" si="20"/>
        <v/>
      </c>
      <c r="U662">
        <f>IF(COUNTIFS($B$2:B662,B662,$F$2:F662,F662)=1,1,0)</f>
        <v>0</v>
      </c>
      <c r="V662" s="13">
        <f t="shared" si="21"/>
        <v>637.29000000000087</v>
      </c>
    </row>
    <row r="663" spans="1:22">
      <c r="A663" t="s">
        <v>984</v>
      </c>
      <c r="B663" t="s">
        <v>34</v>
      </c>
      <c r="C663" t="s">
        <v>35</v>
      </c>
      <c r="D663" t="s">
        <v>36</v>
      </c>
      <c r="E663" t="s">
        <v>37</v>
      </c>
      <c r="F663" t="s">
        <v>38</v>
      </c>
      <c r="G663" t="s">
        <v>95</v>
      </c>
      <c r="H663" t="s">
        <v>985</v>
      </c>
      <c r="I663" t="s">
        <v>69</v>
      </c>
      <c r="J663" t="s">
        <v>29</v>
      </c>
      <c r="K663" t="s">
        <v>31</v>
      </c>
      <c r="L663" s="4">
        <v>45868</v>
      </c>
      <c r="M663" s="4">
        <v>45882</v>
      </c>
      <c r="N663" s="4">
        <v>45892</v>
      </c>
      <c r="O663" t="s">
        <v>32</v>
      </c>
      <c r="P663" s="5">
        <v>1</v>
      </c>
      <c r="Q663" s="6">
        <v>17700</v>
      </c>
      <c r="R663" s="6">
        <v>18244.46</v>
      </c>
      <c r="S663">
        <v>1</v>
      </c>
      <c r="T663">
        <f t="shared" si="20"/>
        <v>10</v>
      </c>
      <c r="U663">
        <f>IF(COUNTIFS($B$2:B663,B663,$F$2:F663,F663)=1,1,0)</f>
        <v>0</v>
      </c>
      <c r="V663" s="13">
        <f t="shared" si="21"/>
        <v>-544.45999999999913</v>
      </c>
    </row>
    <row r="664" spans="1:22">
      <c r="A664" t="s">
        <v>986</v>
      </c>
      <c r="B664" t="s">
        <v>44</v>
      </c>
      <c r="C664" t="s">
        <v>45</v>
      </c>
      <c r="D664" t="s">
        <v>46</v>
      </c>
      <c r="E664" t="s">
        <v>47</v>
      </c>
      <c r="F664" t="s">
        <v>48</v>
      </c>
      <c r="G664" t="s">
        <v>27</v>
      </c>
      <c r="H664" t="s">
        <v>987</v>
      </c>
      <c r="I664" t="s">
        <v>86</v>
      </c>
      <c r="J664" t="s">
        <v>30</v>
      </c>
      <c r="K664" t="s">
        <v>31</v>
      </c>
      <c r="L664" s="4">
        <v>45731</v>
      </c>
      <c r="M664" s="4">
        <v>45760</v>
      </c>
      <c r="N664" s="4"/>
      <c r="O664" t="s">
        <v>32</v>
      </c>
      <c r="P664" s="5">
        <v>0.75</v>
      </c>
      <c r="Q664" s="6">
        <v>28200</v>
      </c>
      <c r="R664" s="6">
        <v>29032.06</v>
      </c>
      <c r="S664">
        <v>2</v>
      </c>
      <c r="T664" t="str">
        <f t="shared" si="20"/>
        <v/>
      </c>
      <c r="U664">
        <f>IF(COUNTIFS($B$2:B664,B664,$F$2:F664,F664)=1,1,0)</f>
        <v>0</v>
      </c>
      <c r="V664" s="13">
        <f t="shared" si="21"/>
        <v>-832.06000000000131</v>
      </c>
    </row>
    <row r="665" spans="1:22">
      <c r="A665" t="s">
        <v>988</v>
      </c>
      <c r="B665" t="s">
        <v>54</v>
      </c>
      <c r="C665" t="s">
        <v>55</v>
      </c>
      <c r="D665" t="s">
        <v>56</v>
      </c>
      <c r="E665" t="s">
        <v>57</v>
      </c>
      <c r="F665" t="s">
        <v>58</v>
      </c>
      <c r="G665" t="s">
        <v>39</v>
      </c>
      <c r="H665" t="s">
        <v>989</v>
      </c>
      <c r="I665" t="s">
        <v>29</v>
      </c>
      <c r="J665" t="s">
        <v>29</v>
      </c>
      <c r="K665" t="s">
        <v>78</v>
      </c>
      <c r="L665" s="4">
        <v>46071</v>
      </c>
      <c r="M665" s="4">
        <v>46087</v>
      </c>
      <c r="N665" s="4">
        <v>46082</v>
      </c>
      <c r="O665" t="s">
        <v>32</v>
      </c>
      <c r="P665" s="5">
        <v>1</v>
      </c>
      <c r="Q665" s="6">
        <v>4800</v>
      </c>
      <c r="R665" s="6">
        <v>5397.74</v>
      </c>
      <c r="S665">
        <v>0</v>
      </c>
      <c r="T665">
        <f t="shared" si="20"/>
        <v>0</v>
      </c>
      <c r="U665">
        <f>IF(COUNTIFS($B$2:B665,B665,$F$2:F665,F665)=1,1,0)</f>
        <v>0</v>
      </c>
      <c r="V665" s="13">
        <f t="shared" si="21"/>
        <v>-597.73999999999978</v>
      </c>
    </row>
    <row r="666" spans="1:22">
      <c r="A666" t="s">
        <v>990</v>
      </c>
      <c r="B666" t="s">
        <v>62</v>
      </c>
      <c r="C666" t="s">
        <v>63</v>
      </c>
      <c r="D666" t="s">
        <v>64</v>
      </c>
      <c r="E666" t="s">
        <v>65</v>
      </c>
      <c r="F666" t="s">
        <v>66</v>
      </c>
      <c r="G666" t="s">
        <v>49</v>
      </c>
      <c r="H666" t="s">
        <v>991</v>
      </c>
      <c r="I666" t="s">
        <v>29</v>
      </c>
      <c r="J666" t="s">
        <v>30</v>
      </c>
      <c r="K666" t="s">
        <v>31</v>
      </c>
      <c r="L666" s="4">
        <v>45916</v>
      </c>
      <c r="M666" s="4">
        <v>45938</v>
      </c>
      <c r="N666" s="4">
        <v>45944</v>
      </c>
      <c r="O666" t="s">
        <v>32</v>
      </c>
      <c r="P666" s="5">
        <v>1</v>
      </c>
      <c r="Q666" s="6">
        <v>14800</v>
      </c>
      <c r="R666" s="6">
        <v>14909.14</v>
      </c>
      <c r="S666">
        <v>1</v>
      </c>
      <c r="T666">
        <f t="shared" si="20"/>
        <v>6</v>
      </c>
      <c r="U666">
        <f>IF(COUNTIFS($B$2:B666,B666,$F$2:F666,F666)=1,1,0)</f>
        <v>0</v>
      </c>
      <c r="V666" s="13">
        <f t="shared" si="21"/>
        <v>-109.13999999999942</v>
      </c>
    </row>
    <row r="667" spans="1:22">
      <c r="A667" t="s">
        <v>992</v>
      </c>
      <c r="B667" t="s">
        <v>71</v>
      </c>
      <c r="C667" t="s">
        <v>72</v>
      </c>
      <c r="D667" t="s">
        <v>73</v>
      </c>
      <c r="E667" t="s">
        <v>74</v>
      </c>
      <c r="F667" t="s">
        <v>75</v>
      </c>
      <c r="G667" t="s">
        <v>59</v>
      </c>
      <c r="H667" t="s">
        <v>993</v>
      </c>
      <c r="I667" t="s">
        <v>29</v>
      </c>
      <c r="J667" t="s">
        <v>29</v>
      </c>
      <c r="K667" t="s">
        <v>78</v>
      </c>
      <c r="L667" s="4">
        <v>45866</v>
      </c>
      <c r="M667" s="4">
        <v>45873</v>
      </c>
      <c r="N667" s="4"/>
      <c r="O667" t="s">
        <v>32</v>
      </c>
      <c r="P667" s="5">
        <v>0.25</v>
      </c>
      <c r="Q667" s="6">
        <v>20000</v>
      </c>
      <c r="R667" s="6">
        <v>19295.23</v>
      </c>
      <c r="S667">
        <v>2</v>
      </c>
      <c r="T667" t="str">
        <f t="shared" si="20"/>
        <v/>
      </c>
      <c r="U667">
        <f>IF(COUNTIFS($B$2:B667,B667,$F$2:F667,F667)=1,1,0)</f>
        <v>0</v>
      </c>
      <c r="V667" s="13">
        <f t="shared" si="21"/>
        <v>704.77000000000044</v>
      </c>
    </row>
    <row r="668" spans="1:22">
      <c r="A668" t="s">
        <v>994</v>
      </c>
      <c r="B668" t="s">
        <v>80</v>
      </c>
      <c r="C668" t="s">
        <v>81</v>
      </c>
      <c r="D668" t="s">
        <v>82</v>
      </c>
      <c r="E668" t="s">
        <v>83</v>
      </c>
      <c r="F668" t="s">
        <v>26</v>
      </c>
      <c r="G668" t="s">
        <v>67</v>
      </c>
      <c r="H668" t="s">
        <v>995</v>
      </c>
      <c r="I668" t="s">
        <v>30</v>
      </c>
      <c r="J668" t="s">
        <v>30</v>
      </c>
      <c r="K668" t="s">
        <v>31</v>
      </c>
      <c r="L668" s="4">
        <v>45827</v>
      </c>
      <c r="M668" s="4">
        <v>45833</v>
      </c>
      <c r="N668" s="4"/>
      <c r="O668" t="s">
        <v>32</v>
      </c>
      <c r="P668" s="5">
        <v>0</v>
      </c>
      <c r="Q668" s="6">
        <v>30200</v>
      </c>
      <c r="R668" s="6">
        <v>0</v>
      </c>
      <c r="S668">
        <v>0</v>
      </c>
      <c r="T668" t="str">
        <f t="shared" si="20"/>
        <v/>
      </c>
      <c r="U668">
        <f>IF(COUNTIFS($B$2:B668,B668,$F$2:F668,F668)=1,1,0)</f>
        <v>0</v>
      </c>
      <c r="V668" s="13">
        <f t="shared" si="21"/>
        <v>30200</v>
      </c>
    </row>
    <row r="669" spans="1:22">
      <c r="A669" t="s">
        <v>996</v>
      </c>
      <c r="B669" t="s">
        <v>88</v>
      </c>
      <c r="C669" t="s">
        <v>89</v>
      </c>
      <c r="D669" t="s">
        <v>24</v>
      </c>
      <c r="E669" t="s">
        <v>25</v>
      </c>
      <c r="F669" t="s">
        <v>38</v>
      </c>
      <c r="G669" t="s">
        <v>76</v>
      </c>
      <c r="H669" t="s">
        <v>997</v>
      </c>
      <c r="I669" t="s">
        <v>86</v>
      </c>
      <c r="J669" t="s">
        <v>30</v>
      </c>
      <c r="K669" t="s">
        <v>31</v>
      </c>
      <c r="L669" s="4">
        <v>45736</v>
      </c>
      <c r="M669" s="4">
        <v>45763</v>
      </c>
      <c r="N669" s="4"/>
      <c r="O669" t="s">
        <v>32</v>
      </c>
      <c r="P669" s="5">
        <v>0</v>
      </c>
      <c r="Q669" s="6">
        <v>6900</v>
      </c>
      <c r="R669" s="6">
        <v>0</v>
      </c>
      <c r="S669">
        <v>0</v>
      </c>
      <c r="T669" t="str">
        <f t="shared" si="20"/>
        <v/>
      </c>
      <c r="U669">
        <f>IF(COUNTIFS($B$2:B669,B669,$F$2:F669,F669)=1,1,0)</f>
        <v>0</v>
      </c>
      <c r="V669" s="13">
        <f t="shared" si="21"/>
        <v>6900</v>
      </c>
    </row>
    <row r="670" spans="1:22">
      <c r="A670" t="s">
        <v>998</v>
      </c>
      <c r="B670" t="s">
        <v>93</v>
      </c>
      <c r="C670" t="s">
        <v>94</v>
      </c>
      <c r="D670" t="s">
        <v>36</v>
      </c>
      <c r="E670" t="s">
        <v>37</v>
      </c>
      <c r="F670" t="s">
        <v>48</v>
      </c>
      <c r="G670" t="s">
        <v>84</v>
      </c>
      <c r="H670" t="s">
        <v>999</v>
      </c>
      <c r="I670" t="s">
        <v>29</v>
      </c>
      <c r="J670" t="s">
        <v>29</v>
      </c>
      <c r="K670" t="s">
        <v>31</v>
      </c>
      <c r="L670" s="4">
        <v>46077</v>
      </c>
      <c r="M670" s="4">
        <v>46107</v>
      </c>
      <c r="N670" s="4">
        <v>46103</v>
      </c>
      <c r="O670" t="s">
        <v>32</v>
      </c>
      <c r="P670" s="5">
        <v>1</v>
      </c>
      <c r="Q670" s="6">
        <v>13600</v>
      </c>
      <c r="R670" s="6">
        <v>12649.33</v>
      </c>
      <c r="S670">
        <v>1</v>
      </c>
      <c r="T670">
        <f t="shared" si="20"/>
        <v>0</v>
      </c>
      <c r="U670">
        <f>IF(COUNTIFS($B$2:B670,B670,$F$2:F670,F670)=1,1,0)</f>
        <v>0</v>
      </c>
      <c r="V670" s="13">
        <f t="shared" si="21"/>
        <v>950.67000000000007</v>
      </c>
    </row>
    <row r="671" spans="1:22">
      <c r="A671" t="s">
        <v>1000</v>
      </c>
      <c r="B671" t="s">
        <v>98</v>
      </c>
      <c r="C671" t="s">
        <v>99</v>
      </c>
      <c r="D671" t="s">
        <v>46</v>
      </c>
      <c r="E671" t="s">
        <v>47</v>
      </c>
      <c r="F671" t="s">
        <v>58</v>
      </c>
      <c r="G671" t="s">
        <v>90</v>
      </c>
      <c r="H671" t="s">
        <v>983</v>
      </c>
      <c r="I671" t="s">
        <v>69</v>
      </c>
      <c r="J671" t="s">
        <v>29</v>
      </c>
      <c r="K671" t="s">
        <v>51</v>
      </c>
      <c r="L671" s="4">
        <v>45844</v>
      </c>
      <c r="M671" s="4">
        <v>45865</v>
      </c>
      <c r="N671" s="4"/>
      <c r="O671" t="s">
        <v>42</v>
      </c>
      <c r="P671" s="5">
        <v>0</v>
      </c>
      <c r="Q671" s="6">
        <v>37200</v>
      </c>
      <c r="R671" s="6">
        <v>0</v>
      </c>
      <c r="S671">
        <v>0</v>
      </c>
      <c r="T671" t="str">
        <f t="shared" si="20"/>
        <v/>
      </c>
      <c r="U671">
        <f>IF(COUNTIFS($B$2:B671,B671,$F$2:F671,F671)=1,1,0)</f>
        <v>0</v>
      </c>
      <c r="V671" s="13">
        <f t="shared" si="21"/>
        <v>37200</v>
      </c>
    </row>
    <row r="672" spans="1:22">
      <c r="A672" t="s">
        <v>1001</v>
      </c>
      <c r="B672" t="s">
        <v>101</v>
      </c>
      <c r="C672" t="s">
        <v>102</v>
      </c>
      <c r="D672" t="s">
        <v>56</v>
      </c>
      <c r="E672" t="s">
        <v>57</v>
      </c>
      <c r="F672" t="s">
        <v>66</v>
      </c>
      <c r="G672" t="s">
        <v>95</v>
      </c>
      <c r="H672" t="s">
        <v>985</v>
      </c>
      <c r="I672" t="s">
        <v>69</v>
      </c>
      <c r="J672" t="s">
        <v>69</v>
      </c>
      <c r="K672" t="s">
        <v>31</v>
      </c>
      <c r="L672" s="4">
        <v>46146</v>
      </c>
      <c r="M672" s="4">
        <v>46149</v>
      </c>
      <c r="N672" s="4"/>
      <c r="O672" t="s">
        <v>109</v>
      </c>
      <c r="P672" s="5">
        <v>0.1</v>
      </c>
      <c r="Q672" s="6">
        <v>41700</v>
      </c>
      <c r="R672" s="6">
        <v>52479.54</v>
      </c>
      <c r="S672">
        <v>2</v>
      </c>
      <c r="T672" t="str">
        <f t="shared" si="20"/>
        <v/>
      </c>
      <c r="U672">
        <f>IF(COUNTIFS($B$2:B672,B672,$F$2:F672,F672)=1,1,0)</f>
        <v>0</v>
      </c>
      <c r="V672" s="13">
        <f t="shared" si="21"/>
        <v>-10779.54</v>
      </c>
    </row>
    <row r="673" spans="1:22">
      <c r="A673" t="s">
        <v>1002</v>
      </c>
      <c r="B673" t="s">
        <v>104</v>
      </c>
      <c r="C673" t="s">
        <v>105</v>
      </c>
      <c r="D673" t="s">
        <v>64</v>
      </c>
      <c r="E673" t="s">
        <v>65</v>
      </c>
      <c r="F673" t="s">
        <v>75</v>
      </c>
      <c r="G673" t="s">
        <v>27</v>
      </c>
      <c r="H673" t="s">
        <v>987</v>
      </c>
      <c r="I673" t="s">
        <v>29</v>
      </c>
      <c r="J673" t="s">
        <v>29</v>
      </c>
      <c r="K673" t="s">
        <v>31</v>
      </c>
      <c r="L673" s="4">
        <v>46069</v>
      </c>
      <c r="M673" s="4">
        <v>46077</v>
      </c>
      <c r="N673" s="4">
        <v>46086</v>
      </c>
      <c r="O673" t="s">
        <v>32</v>
      </c>
      <c r="P673" s="5">
        <v>1</v>
      </c>
      <c r="Q673" s="6">
        <v>23900</v>
      </c>
      <c r="R673" s="6">
        <v>24054.26</v>
      </c>
      <c r="S673">
        <v>0</v>
      </c>
      <c r="T673">
        <f t="shared" si="20"/>
        <v>9</v>
      </c>
      <c r="U673">
        <f>IF(COUNTIFS($B$2:B673,B673,$F$2:F673,F673)=1,1,0)</f>
        <v>0</v>
      </c>
      <c r="V673" s="13">
        <f t="shared" si="21"/>
        <v>-154.2599999999984</v>
      </c>
    </row>
    <row r="674" spans="1:22">
      <c r="A674" t="s">
        <v>1003</v>
      </c>
      <c r="B674" t="s">
        <v>107</v>
      </c>
      <c r="C674" t="s">
        <v>108</v>
      </c>
      <c r="D674" t="s">
        <v>73</v>
      </c>
      <c r="E674" t="s">
        <v>74</v>
      </c>
      <c r="F674" t="s">
        <v>26</v>
      </c>
      <c r="G674" t="s">
        <v>39</v>
      </c>
      <c r="H674" t="s">
        <v>989</v>
      </c>
      <c r="I674" t="s">
        <v>29</v>
      </c>
      <c r="J674" t="s">
        <v>30</v>
      </c>
      <c r="K674" t="s">
        <v>143</v>
      </c>
      <c r="L674" s="4">
        <v>46068</v>
      </c>
      <c r="M674" s="4">
        <v>46095</v>
      </c>
      <c r="N674" s="4"/>
      <c r="O674" t="s">
        <v>52</v>
      </c>
      <c r="P674" s="5">
        <v>0.5</v>
      </c>
      <c r="Q674" s="6">
        <v>25700</v>
      </c>
      <c r="R674" s="6">
        <v>28839.62</v>
      </c>
      <c r="S674">
        <v>2</v>
      </c>
      <c r="T674" t="str">
        <f t="shared" si="20"/>
        <v/>
      </c>
      <c r="U674">
        <f>IF(COUNTIFS($B$2:B674,B674,$F$2:F674,F674)=1,1,0)</f>
        <v>0</v>
      </c>
      <c r="V674" s="13">
        <f t="shared" si="21"/>
        <v>-3139.619999999999</v>
      </c>
    </row>
    <row r="675" spans="1:22">
      <c r="A675" t="s">
        <v>1004</v>
      </c>
      <c r="B675" t="s">
        <v>111</v>
      </c>
      <c r="C675" t="s">
        <v>112</v>
      </c>
      <c r="D675" t="s">
        <v>82</v>
      </c>
      <c r="E675" t="s">
        <v>83</v>
      </c>
      <c r="F675" t="s">
        <v>38</v>
      </c>
      <c r="G675" t="s">
        <v>49</v>
      </c>
      <c r="H675" t="s">
        <v>991</v>
      </c>
      <c r="I675" t="s">
        <v>30</v>
      </c>
      <c r="J675" t="s">
        <v>30</v>
      </c>
      <c r="K675" t="s">
        <v>51</v>
      </c>
      <c r="L675" s="4">
        <v>45786</v>
      </c>
      <c r="M675" s="4">
        <v>45810</v>
      </c>
      <c r="N675" s="4"/>
      <c r="O675" t="s">
        <v>109</v>
      </c>
      <c r="P675" s="5">
        <v>0.5</v>
      </c>
      <c r="Q675" s="6">
        <v>11300</v>
      </c>
      <c r="R675" s="6">
        <v>11805.78</v>
      </c>
      <c r="S675">
        <v>0</v>
      </c>
      <c r="T675" t="str">
        <f t="shared" si="20"/>
        <v/>
      </c>
      <c r="U675">
        <f>IF(COUNTIFS($B$2:B675,B675,$F$2:F675,F675)=1,1,0)</f>
        <v>0</v>
      </c>
      <c r="V675" s="13">
        <f t="shared" si="21"/>
        <v>-505.78000000000065</v>
      </c>
    </row>
    <row r="676" spans="1:22">
      <c r="A676" t="s">
        <v>1005</v>
      </c>
      <c r="B676" t="s">
        <v>114</v>
      </c>
      <c r="C676" t="s">
        <v>115</v>
      </c>
      <c r="D676" t="s">
        <v>24</v>
      </c>
      <c r="E676" t="s">
        <v>25</v>
      </c>
      <c r="F676" t="s">
        <v>48</v>
      </c>
      <c r="G676" t="s">
        <v>59</v>
      </c>
      <c r="H676" t="s">
        <v>993</v>
      </c>
      <c r="I676" t="s">
        <v>29</v>
      </c>
      <c r="J676" t="s">
        <v>69</v>
      </c>
      <c r="K676" t="s">
        <v>178</v>
      </c>
      <c r="L676" s="4">
        <v>46086</v>
      </c>
      <c r="M676" s="4">
        <v>46110</v>
      </c>
      <c r="N676" s="4"/>
      <c r="O676" t="s">
        <v>52</v>
      </c>
      <c r="P676" s="5">
        <v>0.25</v>
      </c>
      <c r="Q676" s="6">
        <v>44900</v>
      </c>
      <c r="R676" s="6">
        <v>55915.77</v>
      </c>
      <c r="S676">
        <v>2</v>
      </c>
      <c r="T676" t="str">
        <f t="shared" si="20"/>
        <v/>
      </c>
      <c r="U676">
        <f>IF(COUNTIFS($B$2:B676,B676,$F$2:F676,F676)=1,1,0)</f>
        <v>0</v>
      </c>
      <c r="V676" s="13">
        <f t="shared" si="21"/>
        <v>-11015.769999999997</v>
      </c>
    </row>
    <row r="677" spans="1:22">
      <c r="A677" t="s">
        <v>1006</v>
      </c>
      <c r="B677" t="s">
        <v>117</v>
      </c>
      <c r="C677" t="s">
        <v>118</v>
      </c>
      <c r="D677" t="s">
        <v>36</v>
      </c>
      <c r="E677" t="s">
        <v>37</v>
      </c>
      <c r="F677" t="s">
        <v>58</v>
      </c>
      <c r="G677" t="s">
        <v>67</v>
      </c>
      <c r="H677" t="s">
        <v>995</v>
      </c>
      <c r="I677" t="s">
        <v>29</v>
      </c>
      <c r="J677" t="s">
        <v>29</v>
      </c>
      <c r="K677" t="s">
        <v>31</v>
      </c>
      <c r="L677" s="4">
        <v>45915</v>
      </c>
      <c r="M677" s="4">
        <v>45930</v>
      </c>
      <c r="N677" s="4"/>
      <c r="O677" t="s">
        <v>52</v>
      </c>
      <c r="P677" s="5">
        <v>0.75</v>
      </c>
      <c r="Q677" s="6">
        <v>44000</v>
      </c>
      <c r="R677" s="6">
        <v>44999.68</v>
      </c>
      <c r="S677">
        <v>2</v>
      </c>
      <c r="T677" t="str">
        <f t="shared" si="20"/>
        <v/>
      </c>
      <c r="U677">
        <f>IF(COUNTIFS($B$2:B677,B677,$F$2:F677,F677)=1,1,0)</f>
        <v>0</v>
      </c>
      <c r="V677" s="13">
        <f t="shared" si="21"/>
        <v>-999.68000000000029</v>
      </c>
    </row>
    <row r="678" spans="1:22">
      <c r="A678" t="s">
        <v>1007</v>
      </c>
      <c r="B678" t="s">
        <v>120</v>
      </c>
      <c r="C678" t="s">
        <v>121</v>
      </c>
      <c r="D678" t="s">
        <v>46</v>
      </c>
      <c r="E678" t="s">
        <v>47</v>
      </c>
      <c r="F678" t="s">
        <v>66</v>
      </c>
      <c r="G678" t="s">
        <v>76</v>
      </c>
      <c r="H678" t="s">
        <v>997</v>
      </c>
      <c r="I678" t="s">
        <v>29</v>
      </c>
      <c r="J678" t="s">
        <v>30</v>
      </c>
      <c r="K678" t="s">
        <v>31</v>
      </c>
      <c r="L678" s="4">
        <v>45730</v>
      </c>
      <c r="M678" s="4">
        <v>45752</v>
      </c>
      <c r="N678" s="4">
        <v>45739</v>
      </c>
      <c r="O678" t="s">
        <v>32</v>
      </c>
      <c r="P678" s="5">
        <v>1</v>
      </c>
      <c r="Q678" s="6">
        <v>19100</v>
      </c>
      <c r="R678" s="6">
        <v>19719.330000000002</v>
      </c>
      <c r="S678">
        <v>3</v>
      </c>
      <c r="T678">
        <f t="shared" si="20"/>
        <v>0</v>
      </c>
      <c r="U678">
        <f>IF(COUNTIFS($B$2:B678,B678,$F$2:F678,F678)=1,1,0)</f>
        <v>0</v>
      </c>
      <c r="V678" s="13">
        <f t="shared" si="21"/>
        <v>-619.33000000000175</v>
      </c>
    </row>
    <row r="679" spans="1:22">
      <c r="A679" t="s">
        <v>1008</v>
      </c>
      <c r="B679" t="s">
        <v>123</v>
      </c>
      <c r="C679" t="s">
        <v>124</v>
      </c>
      <c r="D679" t="s">
        <v>56</v>
      </c>
      <c r="E679" t="s">
        <v>57</v>
      </c>
      <c r="F679" t="s">
        <v>75</v>
      </c>
      <c r="G679" t="s">
        <v>84</v>
      </c>
      <c r="H679" t="s">
        <v>999</v>
      </c>
      <c r="I679" t="s">
        <v>29</v>
      </c>
      <c r="J679" t="s">
        <v>29</v>
      </c>
      <c r="K679" t="s">
        <v>78</v>
      </c>
      <c r="L679" s="4">
        <v>45747</v>
      </c>
      <c r="M679" s="4">
        <v>45774</v>
      </c>
      <c r="N679" s="4">
        <v>45772</v>
      </c>
      <c r="O679" t="s">
        <v>32</v>
      </c>
      <c r="P679" s="5">
        <v>1</v>
      </c>
      <c r="Q679" s="6">
        <v>22200</v>
      </c>
      <c r="R679" s="6">
        <v>20704.080000000002</v>
      </c>
      <c r="S679">
        <v>1</v>
      </c>
      <c r="T679">
        <f t="shared" si="20"/>
        <v>0</v>
      </c>
      <c r="U679">
        <f>IF(COUNTIFS($B$2:B679,B679,$F$2:F679,F679)=1,1,0)</f>
        <v>0</v>
      </c>
      <c r="V679" s="13">
        <f t="shared" si="21"/>
        <v>1495.9199999999983</v>
      </c>
    </row>
    <row r="680" spans="1:22">
      <c r="A680" t="s">
        <v>1009</v>
      </c>
      <c r="B680" t="s">
        <v>126</v>
      </c>
      <c r="C680" t="s">
        <v>127</v>
      </c>
      <c r="D680" t="s">
        <v>64</v>
      </c>
      <c r="E680" t="s">
        <v>65</v>
      </c>
      <c r="F680" t="s">
        <v>26</v>
      </c>
      <c r="G680" t="s">
        <v>90</v>
      </c>
      <c r="H680" t="s">
        <v>983</v>
      </c>
      <c r="I680" t="s">
        <v>29</v>
      </c>
      <c r="J680" t="s">
        <v>30</v>
      </c>
      <c r="K680" t="s">
        <v>78</v>
      </c>
      <c r="L680" s="4">
        <v>45737</v>
      </c>
      <c r="M680" s="4">
        <v>45743</v>
      </c>
      <c r="N680" s="4"/>
      <c r="O680" t="s">
        <v>52</v>
      </c>
      <c r="P680" s="5">
        <v>0.6</v>
      </c>
      <c r="Q680" s="6">
        <v>11500</v>
      </c>
      <c r="R680" s="6">
        <v>10952.43</v>
      </c>
      <c r="S680">
        <v>1</v>
      </c>
      <c r="T680" t="str">
        <f t="shared" si="20"/>
        <v/>
      </c>
      <c r="U680">
        <f>IF(COUNTIFS($B$2:B680,B680,$F$2:F680,F680)=1,1,0)</f>
        <v>0</v>
      </c>
      <c r="V680" s="13">
        <f t="shared" si="21"/>
        <v>547.56999999999971</v>
      </c>
    </row>
    <row r="681" spans="1:22">
      <c r="A681" t="s">
        <v>1010</v>
      </c>
      <c r="B681" t="s">
        <v>129</v>
      </c>
      <c r="C681" t="s">
        <v>130</v>
      </c>
      <c r="D681" t="s">
        <v>73</v>
      </c>
      <c r="E681" t="s">
        <v>74</v>
      </c>
      <c r="F681" t="s">
        <v>38</v>
      </c>
      <c r="G681" t="s">
        <v>95</v>
      </c>
      <c r="H681" t="s">
        <v>985</v>
      </c>
      <c r="I681" t="s">
        <v>69</v>
      </c>
      <c r="J681" t="s">
        <v>29</v>
      </c>
      <c r="K681" t="s">
        <v>143</v>
      </c>
      <c r="L681" s="4">
        <v>45780</v>
      </c>
      <c r="M681" s="4">
        <v>45788</v>
      </c>
      <c r="N681" s="4"/>
      <c r="O681" t="s">
        <v>52</v>
      </c>
      <c r="P681" s="5">
        <v>0.85</v>
      </c>
      <c r="Q681" s="6">
        <v>15700</v>
      </c>
      <c r="R681" s="6">
        <v>15863.8</v>
      </c>
      <c r="S681">
        <v>1</v>
      </c>
      <c r="T681" t="str">
        <f t="shared" si="20"/>
        <v/>
      </c>
      <c r="U681">
        <f>IF(COUNTIFS($B$2:B681,B681,$F$2:F681,F681)=1,1,0)</f>
        <v>0</v>
      </c>
      <c r="V681" s="13">
        <f t="shared" si="21"/>
        <v>-163.79999999999927</v>
      </c>
    </row>
    <row r="682" spans="1:22">
      <c r="A682" t="s">
        <v>1011</v>
      </c>
      <c r="B682" t="s">
        <v>132</v>
      </c>
      <c r="C682" t="s">
        <v>133</v>
      </c>
      <c r="D682" t="s">
        <v>82</v>
      </c>
      <c r="E682" t="s">
        <v>83</v>
      </c>
      <c r="F682" t="s">
        <v>48</v>
      </c>
      <c r="G682" t="s">
        <v>27</v>
      </c>
      <c r="H682" t="s">
        <v>987</v>
      </c>
      <c r="I682" t="s">
        <v>69</v>
      </c>
      <c r="J682" t="s">
        <v>29</v>
      </c>
      <c r="K682" t="s">
        <v>143</v>
      </c>
      <c r="L682" s="4">
        <v>45908</v>
      </c>
      <c r="M682" s="4">
        <v>45936</v>
      </c>
      <c r="N682" s="4">
        <v>45947</v>
      </c>
      <c r="O682" t="s">
        <v>32</v>
      </c>
      <c r="P682" s="5">
        <v>1</v>
      </c>
      <c r="Q682" s="6">
        <v>14300</v>
      </c>
      <c r="R682" s="6">
        <v>12721.27</v>
      </c>
      <c r="S682">
        <v>2</v>
      </c>
      <c r="T682">
        <f t="shared" si="20"/>
        <v>11</v>
      </c>
      <c r="U682">
        <f>IF(COUNTIFS($B$2:B682,B682,$F$2:F682,F682)=1,1,0)</f>
        <v>0</v>
      </c>
      <c r="V682" s="13">
        <f t="shared" si="21"/>
        <v>1578.7299999999996</v>
      </c>
    </row>
    <row r="683" spans="1:22">
      <c r="A683" t="s">
        <v>1012</v>
      </c>
      <c r="B683" t="s">
        <v>135</v>
      </c>
      <c r="C683" t="s">
        <v>136</v>
      </c>
      <c r="D683" t="s">
        <v>24</v>
      </c>
      <c r="E683" t="s">
        <v>25</v>
      </c>
      <c r="F683" t="s">
        <v>58</v>
      </c>
      <c r="G683" t="s">
        <v>39</v>
      </c>
      <c r="H683" t="s">
        <v>989</v>
      </c>
      <c r="I683" t="s">
        <v>29</v>
      </c>
      <c r="J683" t="s">
        <v>29</v>
      </c>
      <c r="K683" t="s">
        <v>143</v>
      </c>
      <c r="L683" s="4">
        <v>45925</v>
      </c>
      <c r="M683" s="4">
        <v>45952</v>
      </c>
      <c r="N683" s="4"/>
      <c r="O683" t="s">
        <v>42</v>
      </c>
      <c r="P683" s="5">
        <v>0</v>
      </c>
      <c r="Q683" s="6">
        <v>20200</v>
      </c>
      <c r="R683" s="6">
        <v>0</v>
      </c>
      <c r="S683">
        <v>1</v>
      </c>
      <c r="T683" t="str">
        <f t="shared" si="20"/>
        <v/>
      </c>
      <c r="U683">
        <f>IF(COUNTIFS($B$2:B683,B683,$F$2:F683,F683)=1,1,0)</f>
        <v>0</v>
      </c>
      <c r="V683" s="13">
        <f t="shared" si="21"/>
        <v>20200</v>
      </c>
    </row>
    <row r="684" spans="1:22">
      <c r="A684" t="s">
        <v>1013</v>
      </c>
      <c r="B684" t="s">
        <v>138</v>
      </c>
      <c r="C684" t="s">
        <v>139</v>
      </c>
      <c r="D684" t="s">
        <v>36</v>
      </c>
      <c r="E684" t="s">
        <v>37</v>
      </c>
      <c r="F684" t="s">
        <v>66</v>
      </c>
      <c r="G684" t="s">
        <v>49</v>
      </c>
      <c r="H684" t="s">
        <v>991</v>
      </c>
      <c r="I684" t="s">
        <v>29</v>
      </c>
      <c r="J684" t="s">
        <v>30</v>
      </c>
      <c r="K684" t="s">
        <v>143</v>
      </c>
      <c r="L684" s="4">
        <v>45979</v>
      </c>
      <c r="M684" s="4">
        <v>45987</v>
      </c>
      <c r="N684" s="4">
        <v>45993</v>
      </c>
      <c r="O684" t="s">
        <v>32</v>
      </c>
      <c r="P684" s="5">
        <v>1</v>
      </c>
      <c r="Q684" s="6">
        <v>32200</v>
      </c>
      <c r="R684" s="6">
        <v>30529.26</v>
      </c>
      <c r="S684">
        <v>1</v>
      </c>
      <c r="T684">
        <f t="shared" si="20"/>
        <v>6</v>
      </c>
      <c r="U684">
        <f>IF(COUNTIFS($B$2:B684,B684,$F$2:F684,F684)=1,1,0)</f>
        <v>0</v>
      </c>
      <c r="V684" s="13">
        <f t="shared" si="21"/>
        <v>1670.7400000000016</v>
      </c>
    </row>
    <row r="685" spans="1:22">
      <c r="A685" t="s">
        <v>1014</v>
      </c>
      <c r="B685" t="s">
        <v>141</v>
      </c>
      <c r="C685" t="s">
        <v>142</v>
      </c>
      <c r="D685" t="s">
        <v>46</v>
      </c>
      <c r="E685" t="s">
        <v>47</v>
      </c>
      <c r="F685" t="s">
        <v>75</v>
      </c>
      <c r="G685" t="s">
        <v>59</v>
      </c>
      <c r="H685" t="s">
        <v>993</v>
      </c>
      <c r="I685" t="s">
        <v>69</v>
      </c>
      <c r="J685" t="s">
        <v>30</v>
      </c>
      <c r="K685" t="s">
        <v>31</v>
      </c>
      <c r="L685" s="4">
        <v>45801</v>
      </c>
      <c r="M685" s="4">
        <v>45825</v>
      </c>
      <c r="N685" s="4">
        <v>45827</v>
      </c>
      <c r="O685" t="s">
        <v>32</v>
      </c>
      <c r="P685" s="5">
        <v>1</v>
      </c>
      <c r="Q685" s="6">
        <v>25000</v>
      </c>
      <c r="R685" s="6">
        <v>22028.53</v>
      </c>
      <c r="S685">
        <v>2</v>
      </c>
      <c r="T685">
        <f t="shared" si="20"/>
        <v>2</v>
      </c>
      <c r="U685">
        <f>IF(COUNTIFS($B$2:B685,B685,$F$2:F685,F685)=1,1,0)</f>
        <v>0</v>
      </c>
      <c r="V685" s="13">
        <f t="shared" si="21"/>
        <v>2971.4700000000012</v>
      </c>
    </row>
    <row r="686" spans="1:22">
      <c r="A686" t="s">
        <v>1015</v>
      </c>
      <c r="B686" t="s">
        <v>145</v>
      </c>
      <c r="C686" t="s">
        <v>146</v>
      </c>
      <c r="D686" t="s">
        <v>56</v>
      </c>
      <c r="E686" t="s">
        <v>57</v>
      </c>
      <c r="F686" t="s">
        <v>26</v>
      </c>
      <c r="G686" t="s">
        <v>67</v>
      </c>
      <c r="H686" t="s">
        <v>995</v>
      </c>
      <c r="I686" t="s">
        <v>29</v>
      </c>
      <c r="J686" t="s">
        <v>30</v>
      </c>
      <c r="K686" t="s">
        <v>31</v>
      </c>
      <c r="L686" s="4">
        <v>46046</v>
      </c>
      <c r="M686" s="4">
        <v>46068</v>
      </c>
      <c r="N686" s="4">
        <v>46071</v>
      </c>
      <c r="O686" t="s">
        <v>32</v>
      </c>
      <c r="P686" s="5">
        <v>1</v>
      </c>
      <c r="Q686" s="6">
        <v>4200</v>
      </c>
      <c r="R686" s="6">
        <v>3908.04</v>
      </c>
      <c r="S686">
        <v>1</v>
      </c>
      <c r="T686">
        <f t="shared" si="20"/>
        <v>3</v>
      </c>
      <c r="U686">
        <f>IF(COUNTIFS($B$2:B686,B686,$F$2:F686,F686)=1,1,0)</f>
        <v>0</v>
      </c>
      <c r="V686" s="13">
        <f t="shared" si="21"/>
        <v>291.96000000000004</v>
      </c>
    </row>
    <row r="687" spans="1:22">
      <c r="A687" t="s">
        <v>1016</v>
      </c>
      <c r="B687" t="s">
        <v>148</v>
      </c>
      <c r="C687" t="s">
        <v>149</v>
      </c>
      <c r="D687" t="s">
        <v>64</v>
      </c>
      <c r="E687" t="s">
        <v>65</v>
      </c>
      <c r="F687" t="s">
        <v>38</v>
      </c>
      <c r="G687" t="s">
        <v>76</v>
      </c>
      <c r="H687" t="s">
        <v>997</v>
      </c>
      <c r="I687" t="s">
        <v>29</v>
      </c>
      <c r="J687" t="s">
        <v>29</v>
      </c>
      <c r="K687" t="s">
        <v>51</v>
      </c>
      <c r="L687" s="4">
        <v>45851</v>
      </c>
      <c r="M687" s="4">
        <v>45866</v>
      </c>
      <c r="N687" s="4"/>
      <c r="O687" t="s">
        <v>42</v>
      </c>
      <c r="P687" s="5">
        <v>0</v>
      </c>
      <c r="Q687" s="6">
        <v>16500</v>
      </c>
      <c r="R687" s="6">
        <v>0</v>
      </c>
      <c r="S687">
        <v>1</v>
      </c>
      <c r="T687" t="str">
        <f t="shared" si="20"/>
        <v/>
      </c>
      <c r="U687">
        <f>IF(COUNTIFS($B$2:B687,B687,$F$2:F687,F687)=1,1,0)</f>
        <v>0</v>
      </c>
      <c r="V687" s="13">
        <f t="shared" si="21"/>
        <v>16500</v>
      </c>
    </row>
    <row r="688" spans="1:22">
      <c r="A688" t="s">
        <v>1017</v>
      </c>
      <c r="B688" t="s">
        <v>151</v>
      </c>
      <c r="C688" t="s">
        <v>152</v>
      </c>
      <c r="D688" t="s">
        <v>73</v>
      </c>
      <c r="E688" t="s">
        <v>74</v>
      </c>
      <c r="F688" t="s">
        <v>48</v>
      </c>
      <c r="G688" t="s">
        <v>84</v>
      </c>
      <c r="H688" t="s">
        <v>999</v>
      </c>
      <c r="I688" t="s">
        <v>69</v>
      </c>
      <c r="J688" t="s">
        <v>30</v>
      </c>
      <c r="K688" t="s">
        <v>51</v>
      </c>
      <c r="L688" s="4">
        <v>46050</v>
      </c>
      <c r="M688" s="4">
        <v>46075</v>
      </c>
      <c r="N688" s="4"/>
      <c r="O688" t="s">
        <v>42</v>
      </c>
      <c r="P688" s="5">
        <v>0</v>
      </c>
      <c r="Q688" s="6">
        <v>14800</v>
      </c>
      <c r="R688" s="6">
        <v>0</v>
      </c>
      <c r="S688">
        <v>1</v>
      </c>
      <c r="T688" t="str">
        <f t="shared" si="20"/>
        <v/>
      </c>
      <c r="U688">
        <f>IF(COUNTIFS($B$2:B688,B688,$F$2:F688,F688)=1,1,0)</f>
        <v>0</v>
      </c>
      <c r="V688" s="13">
        <f t="shared" si="21"/>
        <v>14800</v>
      </c>
    </row>
    <row r="689" spans="1:22">
      <c r="A689" t="s">
        <v>1018</v>
      </c>
      <c r="B689" t="s">
        <v>154</v>
      </c>
      <c r="C689" t="s">
        <v>155</v>
      </c>
      <c r="D689" t="s">
        <v>82</v>
      </c>
      <c r="E689" t="s">
        <v>83</v>
      </c>
      <c r="F689" t="s">
        <v>58</v>
      </c>
      <c r="G689" t="s">
        <v>90</v>
      </c>
      <c r="H689" t="s">
        <v>983</v>
      </c>
      <c r="I689" t="s">
        <v>29</v>
      </c>
      <c r="J689" t="s">
        <v>30</v>
      </c>
      <c r="K689" t="s">
        <v>41</v>
      </c>
      <c r="L689" s="4">
        <v>46140</v>
      </c>
      <c r="M689" s="4">
        <v>46159</v>
      </c>
      <c r="N689" s="4">
        <v>46162</v>
      </c>
      <c r="O689" t="s">
        <v>32</v>
      </c>
      <c r="P689" s="5">
        <v>1</v>
      </c>
      <c r="Q689" s="6">
        <v>13100</v>
      </c>
      <c r="R689" s="6">
        <v>12722.86</v>
      </c>
      <c r="S689">
        <v>0</v>
      </c>
      <c r="T689">
        <f t="shared" si="20"/>
        <v>3</v>
      </c>
      <c r="U689">
        <f>IF(COUNTIFS($B$2:B689,B689,$F$2:F689,F689)=1,1,0)</f>
        <v>0</v>
      </c>
      <c r="V689" s="13">
        <f t="shared" si="21"/>
        <v>377.13999999999942</v>
      </c>
    </row>
    <row r="690" spans="1:22">
      <c r="A690" t="s">
        <v>1019</v>
      </c>
      <c r="B690" t="s">
        <v>157</v>
      </c>
      <c r="C690" t="s">
        <v>158</v>
      </c>
      <c r="D690" t="s">
        <v>24</v>
      </c>
      <c r="E690" t="s">
        <v>25</v>
      </c>
      <c r="F690" t="s">
        <v>66</v>
      </c>
      <c r="G690" t="s">
        <v>95</v>
      </c>
      <c r="H690" t="s">
        <v>985</v>
      </c>
      <c r="I690" t="s">
        <v>86</v>
      </c>
      <c r="J690" t="s">
        <v>30</v>
      </c>
      <c r="K690" t="s">
        <v>31</v>
      </c>
      <c r="L690" s="4">
        <v>46168</v>
      </c>
      <c r="M690" s="4">
        <v>46174</v>
      </c>
      <c r="N690" s="4">
        <v>46184</v>
      </c>
      <c r="O690" t="s">
        <v>32</v>
      </c>
      <c r="P690" s="5">
        <v>1</v>
      </c>
      <c r="Q690" s="6">
        <v>16100</v>
      </c>
      <c r="R690" s="6">
        <v>17983.71</v>
      </c>
      <c r="S690">
        <v>0</v>
      </c>
      <c r="T690">
        <f t="shared" si="20"/>
        <v>10</v>
      </c>
      <c r="U690">
        <f>IF(COUNTIFS($B$2:B690,B690,$F$2:F690,F690)=1,1,0)</f>
        <v>0</v>
      </c>
      <c r="V690" s="13">
        <f t="shared" si="21"/>
        <v>-1883.7099999999991</v>
      </c>
    </row>
    <row r="691" spans="1:22">
      <c r="A691" t="s">
        <v>1020</v>
      </c>
      <c r="B691" t="s">
        <v>160</v>
      </c>
      <c r="C691" t="s">
        <v>161</v>
      </c>
      <c r="D691" t="s">
        <v>36</v>
      </c>
      <c r="E691" t="s">
        <v>37</v>
      </c>
      <c r="F691" t="s">
        <v>75</v>
      </c>
      <c r="G691" t="s">
        <v>39</v>
      </c>
      <c r="H691" t="s">
        <v>989</v>
      </c>
      <c r="I691" t="s">
        <v>29</v>
      </c>
      <c r="J691" t="s">
        <v>29</v>
      </c>
      <c r="K691" t="s">
        <v>31</v>
      </c>
      <c r="L691" s="4">
        <v>46053</v>
      </c>
      <c r="M691" s="4">
        <v>46062</v>
      </c>
      <c r="N691" s="4">
        <v>46064</v>
      </c>
      <c r="O691" t="s">
        <v>32</v>
      </c>
      <c r="P691" s="5">
        <v>1</v>
      </c>
      <c r="Q691" s="6">
        <v>38400</v>
      </c>
      <c r="R691" s="6">
        <v>41039.699999999997</v>
      </c>
      <c r="S691">
        <v>0</v>
      </c>
      <c r="T691">
        <f t="shared" si="20"/>
        <v>2</v>
      </c>
      <c r="U691">
        <f>IF(COUNTIFS($B$2:B691,B691,$F$2:F691,F691)=1,1,0)</f>
        <v>0</v>
      </c>
      <c r="V691" s="13">
        <f t="shared" si="21"/>
        <v>-2639.6999999999971</v>
      </c>
    </row>
    <row r="692" spans="1:22">
      <c r="A692" t="s">
        <v>1021</v>
      </c>
      <c r="B692" t="s">
        <v>22</v>
      </c>
      <c r="C692" t="s">
        <v>23</v>
      </c>
      <c r="D692" t="s">
        <v>24</v>
      </c>
      <c r="E692" t="s">
        <v>25</v>
      </c>
      <c r="F692" t="s">
        <v>26</v>
      </c>
      <c r="G692" t="s">
        <v>49</v>
      </c>
      <c r="H692" t="s">
        <v>1022</v>
      </c>
      <c r="I692" t="s">
        <v>29</v>
      </c>
      <c r="J692" t="s">
        <v>30</v>
      </c>
      <c r="K692" t="s">
        <v>31</v>
      </c>
      <c r="L692" s="4">
        <v>46136</v>
      </c>
      <c r="M692" s="4">
        <v>46151</v>
      </c>
      <c r="N692" s="4">
        <v>46141</v>
      </c>
      <c r="O692" t="s">
        <v>32</v>
      </c>
      <c r="P692" s="5">
        <v>1</v>
      </c>
      <c r="Q692" s="6">
        <v>32700</v>
      </c>
      <c r="R692" s="6">
        <v>26968.28</v>
      </c>
      <c r="S692">
        <v>0</v>
      </c>
      <c r="T692">
        <f t="shared" si="20"/>
        <v>0</v>
      </c>
      <c r="U692">
        <f>IF(COUNTIFS($B$2:B692,B692,$F$2:F692,F692)=1,1,0)</f>
        <v>0</v>
      </c>
      <c r="V692" s="13">
        <f t="shared" si="21"/>
        <v>5731.7200000000012</v>
      </c>
    </row>
    <row r="693" spans="1:22">
      <c r="A693" t="s">
        <v>1023</v>
      </c>
      <c r="B693" t="s">
        <v>34</v>
      </c>
      <c r="C693" t="s">
        <v>35</v>
      </c>
      <c r="D693" t="s">
        <v>36</v>
      </c>
      <c r="E693" t="s">
        <v>37</v>
      </c>
      <c r="F693" t="s">
        <v>38</v>
      </c>
      <c r="G693" t="s">
        <v>59</v>
      </c>
      <c r="H693" t="s">
        <v>1024</v>
      </c>
      <c r="I693" t="s">
        <v>29</v>
      </c>
      <c r="J693" t="s">
        <v>29</v>
      </c>
      <c r="K693" t="s">
        <v>143</v>
      </c>
      <c r="L693" s="4">
        <v>45829</v>
      </c>
      <c r="M693" s="4">
        <v>45838</v>
      </c>
      <c r="N693" s="4"/>
      <c r="O693" t="s">
        <v>32</v>
      </c>
      <c r="P693" s="5">
        <v>0.25</v>
      </c>
      <c r="Q693" s="6">
        <v>29800</v>
      </c>
      <c r="R693" s="6">
        <v>28325.62</v>
      </c>
      <c r="S693">
        <v>1</v>
      </c>
      <c r="T693" t="str">
        <f t="shared" si="20"/>
        <v/>
      </c>
      <c r="U693">
        <f>IF(COUNTIFS($B$2:B693,B693,$F$2:F693,F693)=1,1,0)</f>
        <v>0</v>
      </c>
      <c r="V693" s="13">
        <f t="shared" si="21"/>
        <v>1474.380000000001</v>
      </c>
    </row>
    <row r="694" spans="1:22">
      <c r="A694" t="s">
        <v>1025</v>
      </c>
      <c r="B694" t="s">
        <v>44</v>
      </c>
      <c r="C694" t="s">
        <v>45</v>
      </c>
      <c r="D694" t="s">
        <v>46</v>
      </c>
      <c r="E694" t="s">
        <v>47</v>
      </c>
      <c r="F694" t="s">
        <v>48</v>
      </c>
      <c r="G694" t="s">
        <v>67</v>
      </c>
      <c r="H694" t="s">
        <v>1026</v>
      </c>
      <c r="I694" t="s">
        <v>29</v>
      </c>
      <c r="J694" t="s">
        <v>29</v>
      </c>
      <c r="K694" t="s">
        <v>31</v>
      </c>
      <c r="L694" s="4">
        <v>45777</v>
      </c>
      <c r="M694" s="4">
        <v>45788</v>
      </c>
      <c r="N694" s="4">
        <v>45802</v>
      </c>
      <c r="O694" t="s">
        <v>32</v>
      </c>
      <c r="P694" s="5">
        <v>1</v>
      </c>
      <c r="Q694" s="6">
        <v>21200</v>
      </c>
      <c r="R694" s="6">
        <v>21748.17</v>
      </c>
      <c r="S694">
        <v>1</v>
      </c>
      <c r="T694">
        <f t="shared" si="20"/>
        <v>14</v>
      </c>
      <c r="U694">
        <f>IF(COUNTIFS($B$2:B694,B694,$F$2:F694,F694)=1,1,0)</f>
        <v>0</v>
      </c>
      <c r="V694" s="13">
        <f t="shared" si="21"/>
        <v>-548.16999999999825</v>
      </c>
    </row>
    <row r="695" spans="1:22">
      <c r="A695" t="s">
        <v>1027</v>
      </c>
      <c r="B695" t="s">
        <v>54</v>
      </c>
      <c r="C695" t="s">
        <v>55</v>
      </c>
      <c r="D695" t="s">
        <v>56</v>
      </c>
      <c r="E695" t="s">
        <v>57</v>
      </c>
      <c r="F695" t="s">
        <v>58</v>
      </c>
      <c r="G695" t="s">
        <v>76</v>
      </c>
      <c r="H695" t="s">
        <v>1028</v>
      </c>
      <c r="I695" t="s">
        <v>30</v>
      </c>
      <c r="J695" t="s">
        <v>29</v>
      </c>
      <c r="K695" t="s">
        <v>41</v>
      </c>
      <c r="L695" s="4">
        <v>46189</v>
      </c>
      <c r="M695" s="4">
        <v>46207</v>
      </c>
      <c r="N695" s="4"/>
      <c r="O695" t="s">
        <v>32</v>
      </c>
      <c r="P695" s="5">
        <v>0.9</v>
      </c>
      <c r="Q695" s="6">
        <v>33800</v>
      </c>
      <c r="R695" s="6">
        <v>25913.3</v>
      </c>
      <c r="S695">
        <v>2</v>
      </c>
      <c r="T695" t="str">
        <f t="shared" si="20"/>
        <v/>
      </c>
      <c r="U695">
        <f>IF(COUNTIFS($B$2:B695,B695,$F$2:F695,F695)=1,1,0)</f>
        <v>0</v>
      </c>
      <c r="V695" s="13">
        <f t="shared" si="21"/>
        <v>7886.7000000000007</v>
      </c>
    </row>
    <row r="696" spans="1:22">
      <c r="A696" t="s">
        <v>1029</v>
      </c>
      <c r="B696" t="s">
        <v>62</v>
      </c>
      <c r="C696" t="s">
        <v>63</v>
      </c>
      <c r="D696" t="s">
        <v>64</v>
      </c>
      <c r="E696" t="s">
        <v>65</v>
      </c>
      <c r="F696" t="s">
        <v>66</v>
      </c>
      <c r="G696" t="s">
        <v>84</v>
      </c>
      <c r="H696" t="s">
        <v>1030</v>
      </c>
      <c r="I696" t="s">
        <v>29</v>
      </c>
      <c r="J696" t="s">
        <v>29</v>
      </c>
      <c r="K696" t="s">
        <v>78</v>
      </c>
      <c r="L696" s="4">
        <v>45914</v>
      </c>
      <c r="M696" s="4">
        <v>45935</v>
      </c>
      <c r="N696" s="4">
        <v>45941</v>
      </c>
      <c r="O696" t="s">
        <v>32</v>
      </c>
      <c r="P696" s="5">
        <v>1</v>
      </c>
      <c r="Q696" s="6">
        <v>21600</v>
      </c>
      <c r="R696" s="6">
        <v>22616.28</v>
      </c>
      <c r="S696">
        <v>2</v>
      </c>
      <c r="T696">
        <f t="shared" si="20"/>
        <v>6</v>
      </c>
      <c r="U696">
        <f>IF(COUNTIFS($B$2:B696,B696,$F$2:F696,F696)=1,1,0)</f>
        <v>0</v>
      </c>
      <c r="V696" s="13">
        <f t="shared" si="21"/>
        <v>-1016.2799999999988</v>
      </c>
    </row>
    <row r="697" spans="1:22">
      <c r="A697" t="s">
        <v>1031</v>
      </c>
      <c r="B697" t="s">
        <v>71</v>
      </c>
      <c r="C697" t="s">
        <v>72</v>
      </c>
      <c r="D697" t="s">
        <v>73</v>
      </c>
      <c r="E697" t="s">
        <v>74</v>
      </c>
      <c r="F697" t="s">
        <v>75</v>
      </c>
      <c r="G697" t="s">
        <v>90</v>
      </c>
      <c r="H697" t="s">
        <v>1032</v>
      </c>
      <c r="I697" t="s">
        <v>69</v>
      </c>
      <c r="J697" t="s">
        <v>29</v>
      </c>
      <c r="K697" t="s">
        <v>31</v>
      </c>
      <c r="L697" s="4">
        <v>45804</v>
      </c>
      <c r="M697" s="4">
        <v>45827</v>
      </c>
      <c r="N697" s="4"/>
      <c r="O697" t="s">
        <v>32</v>
      </c>
      <c r="P697" s="5">
        <v>0.6</v>
      </c>
      <c r="Q697" s="6">
        <v>13100</v>
      </c>
      <c r="R697" s="6">
        <v>15744.77</v>
      </c>
      <c r="S697">
        <v>2</v>
      </c>
      <c r="T697" t="str">
        <f t="shared" si="20"/>
        <v/>
      </c>
      <c r="U697">
        <f>IF(COUNTIFS($B$2:B697,B697,$F$2:F697,F697)=1,1,0)</f>
        <v>0</v>
      </c>
      <c r="V697" s="13">
        <f t="shared" si="21"/>
        <v>-2644.7700000000004</v>
      </c>
    </row>
    <row r="698" spans="1:22">
      <c r="A698" t="s">
        <v>1033</v>
      </c>
      <c r="B698" t="s">
        <v>80</v>
      </c>
      <c r="C698" t="s">
        <v>81</v>
      </c>
      <c r="D698" t="s">
        <v>82</v>
      </c>
      <c r="E698" t="s">
        <v>83</v>
      </c>
      <c r="F698" t="s">
        <v>26</v>
      </c>
      <c r="G698" t="s">
        <v>95</v>
      </c>
      <c r="H698" t="s">
        <v>1034</v>
      </c>
      <c r="I698" t="s">
        <v>69</v>
      </c>
      <c r="J698" t="s">
        <v>30</v>
      </c>
      <c r="K698" t="s">
        <v>31</v>
      </c>
      <c r="L698" s="4">
        <v>45815</v>
      </c>
      <c r="M698" s="4">
        <v>45824</v>
      </c>
      <c r="N698" s="4"/>
      <c r="O698" t="s">
        <v>32</v>
      </c>
      <c r="P698" s="5">
        <v>0</v>
      </c>
      <c r="Q698" s="6">
        <v>36200</v>
      </c>
      <c r="R698" s="6">
        <v>0</v>
      </c>
      <c r="S698">
        <v>1</v>
      </c>
      <c r="T698" t="str">
        <f t="shared" si="20"/>
        <v/>
      </c>
      <c r="U698">
        <f>IF(COUNTIFS($B$2:B698,B698,$F$2:F698,F698)=1,1,0)</f>
        <v>0</v>
      </c>
      <c r="V698" s="13">
        <f t="shared" si="21"/>
        <v>36200</v>
      </c>
    </row>
    <row r="699" spans="1:22">
      <c r="A699" t="s">
        <v>1035</v>
      </c>
      <c r="B699" t="s">
        <v>88</v>
      </c>
      <c r="C699" t="s">
        <v>89</v>
      </c>
      <c r="D699" t="s">
        <v>24</v>
      </c>
      <c r="E699" t="s">
        <v>25</v>
      </c>
      <c r="F699" t="s">
        <v>38</v>
      </c>
      <c r="G699" t="s">
        <v>27</v>
      </c>
      <c r="H699" t="s">
        <v>1036</v>
      </c>
      <c r="I699" t="s">
        <v>86</v>
      </c>
      <c r="J699" t="s">
        <v>30</v>
      </c>
      <c r="K699" t="s">
        <v>178</v>
      </c>
      <c r="L699" s="4">
        <v>45785</v>
      </c>
      <c r="M699" s="4">
        <v>45793</v>
      </c>
      <c r="N699" s="4"/>
      <c r="O699" t="s">
        <v>32</v>
      </c>
      <c r="P699" s="5">
        <v>0.25</v>
      </c>
      <c r="Q699" s="6">
        <v>12700</v>
      </c>
      <c r="R699" s="6">
        <v>14449.19</v>
      </c>
      <c r="S699">
        <v>2</v>
      </c>
      <c r="T699" t="str">
        <f t="shared" si="20"/>
        <v/>
      </c>
      <c r="U699">
        <f>IF(COUNTIFS($B$2:B699,B699,$F$2:F699,F699)=1,1,0)</f>
        <v>0</v>
      </c>
      <c r="V699" s="13">
        <f t="shared" si="21"/>
        <v>-1749.1900000000005</v>
      </c>
    </row>
    <row r="700" spans="1:22">
      <c r="A700" t="s">
        <v>1037</v>
      </c>
      <c r="B700" t="s">
        <v>93</v>
      </c>
      <c r="C700" t="s">
        <v>94</v>
      </c>
      <c r="D700" t="s">
        <v>36</v>
      </c>
      <c r="E700" t="s">
        <v>37</v>
      </c>
      <c r="F700" t="s">
        <v>48</v>
      </c>
      <c r="G700" t="s">
        <v>39</v>
      </c>
      <c r="H700" t="s">
        <v>1038</v>
      </c>
      <c r="I700" t="s">
        <v>29</v>
      </c>
      <c r="J700" t="s">
        <v>69</v>
      </c>
      <c r="K700" t="s">
        <v>178</v>
      </c>
      <c r="L700" s="4">
        <v>46164</v>
      </c>
      <c r="M700" s="4">
        <v>46192</v>
      </c>
      <c r="N700" s="4"/>
      <c r="O700" t="s">
        <v>42</v>
      </c>
      <c r="P700" s="5">
        <v>0</v>
      </c>
      <c r="Q700" s="6">
        <v>38900</v>
      </c>
      <c r="R700" s="6">
        <v>0</v>
      </c>
      <c r="S700">
        <v>5</v>
      </c>
      <c r="T700" t="str">
        <f t="shared" si="20"/>
        <v/>
      </c>
      <c r="U700">
        <f>IF(COUNTIFS($B$2:B700,B700,$F$2:F700,F700)=1,1,0)</f>
        <v>0</v>
      </c>
      <c r="V700" s="13">
        <f t="shared" si="21"/>
        <v>38900</v>
      </c>
    </row>
    <row r="701" spans="1:22">
      <c r="A701" t="s">
        <v>1039</v>
      </c>
      <c r="B701" t="s">
        <v>98</v>
      </c>
      <c r="C701" t="s">
        <v>99</v>
      </c>
      <c r="D701" t="s">
        <v>46</v>
      </c>
      <c r="E701" t="s">
        <v>47</v>
      </c>
      <c r="F701" t="s">
        <v>58</v>
      </c>
      <c r="G701" t="s">
        <v>49</v>
      </c>
      <c r="H701" t="s">
        <v>1022</v>
      </c>
      <c r="I701" t="s">
        <v>69</v>
      </c>
      <c r="J701" t="s">
        <v>69</v>
      </c>
      <c r="K701" t="s">
        <v>31</v>
      </c>
      <c r="L701" s="4">
        <v>45808</v>
      </c>
      <c r="M701" s="4">
        <v>45832</v>
      </c>
      <c r="N701" s="4">
        <v>45839</v>
      </c>
      <c r="O701" t="s">
        <v>32</v>
      </c>
      <c r="P701" s="5">
        <v>1</v>
      </c>
      <c r="Q701" s="6">
        <v>5400</v>
      </c>
      <c r="R701" s="6">
        <v>6671.29</v>
      </c>
      <c r="S701">
        <v>2</v>
      </c>
      <c r="T701">
        <f t="shared" si="20"/>
        <v>7</v>
      </c>
      <c r="U701">
        <f>IF(COUNTIFS($B$2:B701,B701,$F$2:F701,F701)=1,1,0)</f>
        <v>0</v>
      </c>
      <c r="V701" s="13">
        <f t="shared" si="21"/>
        <v>-1271.29</v>
      </c>
    </row>
    <row r="702" spans="1:22">
      <c r="A702" t="s">
        <v>1040</v>
      </c>
      <c r="B702" t="s">
        <v>101</v>
      </c>
      <c r="C702" t="s">
        <v>102</v>
      </c>
      <c r="D702" t="s">
        <v>56</v>
      </c>
      <c r="E702" t="s">
        <v>57</v>
      </c>
      <c r="F702" t="s">
        <v>66</v>
      </c>
      <c r="G702" t="s">
        <v>59</v>
      </c>
      <c r="H702" t="s">
        <v>1024</v>
      </c>
      <c r="I702" t="s">
        <v>29</v>
      </c>
      <c r="J702" t="s">
        <v>30</v>
      </c>
      <c r="K702" t="s">
        <v>78</v>
      </c>
      <c r="L702" s="4">
        <v>46039</v>
      </c>
      <c r="M702" s="4">
        <v>46058</v>
      </c>
      <c r="N702" s="4">
        <v>46049</v>
      </c>
      <c r="O702" t="s">
        <v>32</v>
      </c>
      <c r="P702" s="5">
        <v>1</v>
      </c>
      <c r="Q702" s="6">
        <v>24300</v>
      </c>
      <c r="R702" s="6">
        <v>22550.76</v>
      </c>
      <c r="S702">
        <v>1</v>
      </c>
      <c r="T702">
        <f t="shared" si="20"/>
        <v>0</v>
      </c>
      <c r="U702">
        <f>IF(COUNTIFS($B$2:B702,B702,$F$2:F702,F702)=1,1,0)</f>
        <v>0</v>
      </c>
      <c r="V702" s="13">
        <f t="shared" si="21"/>
        <v>1749.2400000000016</v>
      </c>
    </row>
    <row r="703" spans="1:22">
      <c r="A703" t="s">
        <v>1041</v>
      </c>
      <c r="B703" t="s">
        <v>104</v>
      </c>
      <c r="C703" t="s">
        <v>105</v>
      </c>
      <c r="D703" t="s">
        <v>64</v>
      </c>
      <c r="E703" t="s">
        <v>65</v>
      </c>
      <c r="F703" t="s">
        <v>75</v>
      </c>
      <c r="G703" t="s">
        <v>67</v>
      </c>
      <c r="H703" t="s">
        <v>1026</v>
      </c>
      <c r="I703" t="s">
        <v>69</v>
      </c>
      <c r="J703" t="s">
        <v>29</v>
      </c>
      <c r="K703" t="s">
        <v>31</v>
      </c>
      <c r="L703" s="4">
        <v>46191</v>
      </c>
      <c r="M703" s="4">
        <v>46217</v>
      </c>
      <c r="N703" s="4"/>
      <c r="O703" t="s">
        <v>52</v>
      </c>
      <c r="P703" s="5">
        <v>0.85</v>
      </c>
      <c r="Q703" s="6">
        <v>33900</v>
      </c>
      <c r="R703" s="6">
        <v>34614.160000000003</v>
      </c>
      <c r="S703">
        <v>3</v>
      </c>
      <c r="T703" t="str">
        <f t="shared" si="20"/>
        <v/>
      </c>
      <c r="U703">
        <f>IF(COUNTIFS($B$2:B703,B703,$F$2:F703,F703)=1,1,0)</f>
        <v>0</v>
      </c>
      <c r="V703" s="13">
        <f t="shared" si="21"/>
        <v>-714.16000000000349</v>
      </c>
    </row>
    <row r="704" spans="1:22">
      <c r="A704" t="s">
        <v>1042</v>
      </c>
      <c r="B704" t="s">
        <v>107</v>
      </c>
      <c r="C704" t="s">
        <v>108</v>
      </c>
      <c r="D704" t="s">
        <v>73</v>
      </c>
      <c r="E704" t="s">
        <v>74</v>
      </c>
      <c r="F704" t="s">
        <v>26</v>
      </c>
      <c r="G704" t="s">
        <v>76</v>
      </c>
      <c r="H704" t="s">
        <v>1028</v>
      </c>
      <c r="I704" t="s">
        <v>30</v>
      </c>
      <c r="J704" t="s">
        <v>30</v>
      </c>
      <c r="K704" t="s">
        <v>31</v>
      </c>
      <c r="L704" s="4">
        <v>46046</v>
      </c>
      <c r="M704" s="4">
        <v>46057</v>
      </c>
      <c r="N704" s="4">
        <v>46057</v>
      </c>
      <c r="O704" t="s">
        <v>32</v>
      </c>
      <c r="P704" s="5">
        <v>1</v>
      </c>
      <c r="Q704" s="6">
        <v>3900</v>
      </c>
      <c r="R704" s="6">
        <v>3327.31</v>
      </c>
      <c r="S704">
        <v>1</v>
      </c>
      <c r="T704">
        <f t="shared" si="20"/>
        <v>0</v>
      </c>
      <c r="U704">
        <f>IF(COUNTIFS($B$2:B704,B704,$F$2:F704,F704)=1,1,0)</f>
        <v>0</v>
      </c>
      <c r="V704" s="13">
        <f t="shared" si="21"/>
        <v>572.69000000000005</v>
      </c>
    </row>
    <row r="705" spans="1:22">
      <c r="A705" t="s">
        <v>1043</v>
      </c>
      <c r="B705" t="s">
        <v>111</v>
      </c>
      <c r="C705" t="s">
        <v>112</v>
      </c>
      <c r="D705" t="s">
        <v>82</v>
      </c>
      <c r="E705" t="s">
        <v>83</v>
      </c>
      <c r="F705" t="s">
        <v>38</v>
      </c>
      <c r="G705" t="s">
        <v>84</v>
      </c>
      <c r="H705" t="s">
        <v>1030</v>
      </c>
      <c r="I705" t="s">
        <v>30</v>
      </c>
      <c r="J705" t="s">
        <v>29</v>
      </c>
      <c r="K705" t="s">
        <v>143</v>
      </c>
      <c r="L705" s="4">
        <v>45770</v>
      </c>
      <c r="M705" s="4">
        <v>45781</v>
      </c>
      <c r="N705" s="4">
        <v>45789</v>
      </c>
      <c r="O705" t="s">
        <v>32</v>
      </c>
      <c r="P705" s="5">
        <v>1</v>
      </c>
      <c r="Q705" s="6">
        <v>32600</v>
      </c>
      <c r="R705" s="6">
        <v>31938.27</v>
      </c>
      <c r="S705">
        <v>2</v>
      </c>
      <c r="T705">
        <f t="shared" si="20"/>
        <v>8</v>
      </c>
      <c r="U705">
        <f>IF(COUNTIFS($B$2:B705,B705,$F$2:F705,F705)=1,1,0)</f>
        <v>0</v>
      </c>
      <c r="V705" s="13">
        <f t="shared" si="21"/>
        <v>661.72999999999956</v>
      </c>
    </row>
    <row r="706" spans="1:22">
      <c r="A706" t="s">
        <v>1044</v>
      </c>
      <c r="B706" t="s">
        <v>114</v>
      </c>
      <c r="C706" t="s">
        <v>115</v>
      </c>
      <c r="D706" t="s">
        <v>24</v>
      </c>
      <c r="E706" t="s">
        <v>25</v>
      </c>
      <c r="F706" t="s">
        <v>48</v>
      </c>
      <c r="G706" t="s">
        <v>90</v>
      </c>
      <c r="H706" t="s">
        <v>1032</v>
      </c>
      <c r="I706" t="s">
        <v>86</v>
      </c>
      <c r="J706" t="s">
        <v>29</v>
      </c>
      <c r="K706" t="s">
        <v>41</v>
      </c>
      <c r="L706" s="4">
        <v>45978</v>
      </c>
      <c r="M706" s="4">
        <v>46003</v>
      </c>
      <c r="N706" s="4">
        <v>46004</v>
      </c>
      <c r="O706" t="s">
        <v>32</v>
      </c>
      <c r="P706" s="5">
        <v>1</v>
      </c>
      <c r="Q706" s="6">
        <v>30700</v>
      </c>
      <c r="R706" s="6">
        <v>31251.63</v>
      </c>
      <c r="S706">
        <v>3</v>
      </c>
      <c r="T706">
        <f t="shared" ref="T706:T751" si="22">IF(N706="","",MAX(0,N706-M706))</f>
        <v>1</v>
      </c>
      <c r="U706">
        <f>IF(COUNTIFS($B$2:B706,B706,$F$2:F706,F706)=1,1,0)</f>
        <v>0</v>
      </c>
      <c r="V706" s="13">
        <f t="shared" ref="V706:V751" si="23">Q706-R706</f>
        <v>-551.63000000000102</v>
      </c>
    </row>
    <row r="707" spans="1:22">
      <c r="A707" t="s">
        <v>1045</v>
      </c>
      <c r="B707" t="s">
        <v>117</v>
      </c>
      <c r="C707" t="s">
        <v>118</v>
      </c>
      <c r="D707" t="s">
        <v>36</v>
      </c>
      <c r="E707" t="s">
        <v>37</v>
      </c>
      <c r="F707" t="s">
        <v>58</v>
      </c>
      <c r="G707" t="s">
        <v>95</v>
      </c>
      <c r="H707" t="s">
        <v>1034</v>
      </c>
      <c r="I707" t="s">
        <v>69</v>
      </c>
      <c r="J707" t="s">
        <v>29</v>
      </c>
      <c r="K707" t="s">
        <v>178</v>
      </c>
      <c r="L707" s="4">
        <v>45910</v>
      </c>
      <c r="M707" s="4">
        <v>45930</v>
      </c>
      <c r="N707" s="4">
        <v>45936</v>
      </c>
      <c r="O707" t="s">
        <v>32</v>
      </c>
      <c r="P707" s="5">
        <v>1</v>
      </c>
      <c r="Q707" s="6">
        <v>41100</v>
      </c>
      <c r="R707" s="6">
        <v>38425.339999999997</v>
      </c>
      <c r="S707">
        <v>0</v>
      </c>
      <c r="T707">
        <f t="shared" si="22"/>
        <v>6</v>
      </c>
      <c r="U707">
        <f>IF(COUNTIFS($B$2:B707,B707,$F$2:F707,F707)=1,1,0)</f>
        <v>0</v>
      </c>
      <c r="V707" s="13">
        <f t="shared" si="23"/>
        <v>2674.6600000000035</v>
      </c>
    </row>
    <row r="708" spans="1:22">
      <c r="A708" t="s">
        <v>1046</v>
      </c>
      <c r="B708" t="s">
        <v>120</v>
      </c>
      <c r="C708" t="s">
        <v>121</v>
      </c>
      <c r="D708" t="s">
        <v>46</v>
      </c>
      <c r="E708" t="s">
        <v>47</v>
      </c>
      <c r="F708" t="s">
        <v>66</v>
      </c>
      <c r="G708" t="s">
        <v>27</v>
      </c>
      <c r="H708" t="s">
        <v>1036</v>
      </c>
      <c r="I708" t="s">
        <v>29</v>
      </c>
      <c r="J708" t="s">
        <v>30</v>
      </c>
      <c r="K708" t="s">
        <v>41</v>
      </c>
      <c r="L708" s="4">
        <v>45739</v>
      </c>
      <c r="M708" s="4">
        <v>45751</v>
      </c>
      <c r="N708" s="4"/>
      <c r="O708" t="s">
        <v>52</v>
      </c>
      <c r="P708" s="5">
        <v>0.4</v>
      </c>
      <c r="Q708" s="6">
        <v>41300</v>
      </c>
      <c r="R708" s="6">
        <v>49944.22</v>
      </c>
      <c r="S708">
        <v>0</v>
      </c>
      <c r="T708" t="str">
        <f t="shared" si="22"/>
        <v/>
      </c>
      <c r="U708">
        <f>IF(COUNTIFS($B$2:B708,B708,$F$2:F708,F708)=1,1,0)</f>
        <v>0</v>
      </c>
      <c r="V708" s="13">
        <f t="shared" si="23"/>
        <v>-8644.2200000000012</v>
      </c>
    </row>
    <row r="709" spans="1:22">
      <c r="A709" t="s">
        <v>1047</v>
      </c>
      <c r="B709" t="s">
        <v>123</v>
      </c>
      <c r="C709" t="s">
        <v>124</v>
      </c>
      <c r="D709" t="s">
        <v>56</v>
      </c>
      <c r="E709" t="s">
        <v>57</v>
      </c>
      <c r="F709" t="s">
        <v>75</v>
      </c>
      <c r="G709" t="s">
        <v>39</v>
      </c>
      <c r="H709" t="s">
        <v>1038</v>
      </c>
      <c r="I709" t="s">
        <v>69</v>
      </c>
      <c r="J709" t="s">
        <v>30</v>
      </c>
      <c r="K709" t="s">
        <v>31</v>
      </c>
      <c r="L709" s="4">
        <v>45698</v>
      </c>
      <c r="M709" s="4">
        <v>45727</v>
      </c>
      <c r="N709" s="4">
        <v>45718</v>
      </c>
      <c r="O709" t="s">
        <v>32</v>
      </c>
      <c r="P709" s="5">
        <v>1</v>
      </c>
      <c r="Q709" s="6">
        <v>22900</v>
      </c>
      <c r="R709" s="6">
        <v>22886.3</v>
      </c>
      <c r="S709">
        <v>0</v>
      </c>
      <c r="T709">
        <f t="shared" si="22"/>
        <v>0</v>
      </c>
      <c r="U709">
        <f>IF(COUNTIFS($B$2:B709,B709,$F$2:F709,F709)=1,1,0)</f>
        <v>0</v>
      </c>
      <c r="V709" s="13">
        <f t="shared" si="23"/>
        <v>13.700000000000728</v>
      </c>
    </row>
    <row r="710" spans="1:22">
      <c r="A710" t="s">
        <v>1048</v>
      </c>
      <c r="B710" t="s">
        <v>126</v>
      </c>
      <c r="C710" t="s">
        <v>127</v>
      </c>
      <c r="D710" t="s">
        <v>64</v>
      </c>
      <c r="E710" t="s">
        <v>65</v>
      </c>
      <c r="F710" t="s">
        <v>26</v>
      </c>
      <c r="G710" t="s">
        <v>49</v>
      </c>
      <c r="H710" t="s">
        <v>1022</v>
      </c>
      <c r="I710" t="s">
        <v>29</v>
      </c>
      <c r="J710" t="s">
        <v>30</v>
      </c>
      <c r="K710" t="s">
        <v>178</v>
      </c>
      <c r="L710" s="4">
        <v>45735</v>
      </c>
      <c r="M710" s="4">
        <v>45764</v>
      </c>
      <c r="N710" s="4"/>
      <c r="O710" t="s">
        <v>42</v>
      </c>
      <c r="P710" s="5">
        <v>0</v>
      </c>
      <c r="Q710" s="6">
        <v>12900</v>
      </c>
      <c r="R710" s="6">
        <v>0</v>
      </c>
      <c r="S710">
        <v>2</v>
      </c>
      <c r="T710" t="str">
        <f t="shared" si="22"/>
        <v/>
      </c>
      <c r="U710">
        <f>IF(COUNTIFS($B$2:B710,B710,$F$2:F710,F710)=1,1,0)</f>
        <v>0</v>
      </c>
      <c r="V710" s="13">
        <f t="shared" si="23"/>
        <v>12900</v>
      </c>
    </row>
    <row r="711" spans="1:22">
      <c r="A711" t="s">
        <v>1049</v>
      </c>
      <c r="B711" t="s">
        <v>129</v>
      </c>
      <c r="C711" t="s">
        <v>130</v>
      </c>
      <c r="D711" t="s">
        <v>73</v>
      </c>
      <c r="E711" t="s">
        <v>74</v>
      </c>
      <c r="F711" t="s">
        <v>38</v>
      </c>
      <c r="G711" t="s">
        <v>59</v>
      </c>
      <c r="H711" t="s">
        <v>1024</v>
      </c>
      <c r="I711" t="s">
        <v>69</v>
      </c>
      <c r="J711" t="s">
        <v>29</v>
      </c>
      <c r="K711" t="s">
        <v>31</v>
      </c>
      <c r="L711" s="4">
        <v>45781</v>
      </c>
      <c r="M711" s="4">
        <v>45808</v>
      </c>
      <c r="N711" s="4"/>
      <c r="O711" t="s">
        <v>42</v>
      </c>
      <c r="P711" s="5">
        <v>0</v>
      </c>
      <c r="Q711" s="6">
        <v>29400</v>
      </c>
      <c r="R711" s="6">
        <v>0</v>
      </c>
      <c r="S711">
        <v>0</v>
      </c>
      <c r="T711" t="str">
        <f t="shared" si="22"/>
        <v/>
      </c>
      <c r="U711">
        <f>IF(COUNTIFS($B$2:B711,B711,$F$2:F711,F711)=1,1,0)</f>
        <v>0</v>
      </c>
      <c r="V711" s="13">
        <f t="shared" si="23"/>
        <v>29400</v>
      </c>
    </row>
    <row r="712" spans="1:22">
      <c r="A712" t="s">
        <v>1050</v>
      </c>
      <c r="B712" t="s">
        <v>132</v>
      </c>
      <c r="C712" t="s">
        <v>133</v>
      </c>
      <c r="D712" t="s">
        <v>82</v>
      </c>
      <c r="E712" t="s">
        <v>83</v>
      </c>
      <c r="F712" t="s">
        <v>48</v>
      </c>
      <c r="G712" t="s">
        <v>67</v>
      </c>
      <c r="H712" t="s">
        <v>1026</v>
      </c>
      <c r="I712" t="s">
        <v>29</v>
      </c>
      <c r="J712" t="s">
        <v>30</v>
      </c>
      <c r="K712" t="s">
        <v>51</v>
      </c>
      <c r="L712" s="4">
        <v>45862</v>
      </c>
      <c r="M712" s="4">
        <v>45883</v>
      </c>
      <c r="N712" s="4"/>
      <c r="O712" t="s">
        <v>42</v>
      </c>
      <c r="P712" s="5">
        <v>0</v>
      </c>
      <c r="Q712" s="6">
        <v>8400</v>
      </c>
      <c r="R712" s="6">
        <v>0</v>
      </c>
      <c r="S712">
        <v>1</v>
      </c>
      <c r="T712" t="str">
        <f t="shared" si="22"/>
        <v/>
      </c>
      <c r="U712">
        <f>IF(COUNTIFS($B$2:B712,B712,$F$2:F712,F712)=1,1,0)</f>
        <v>0</v>
      </c>
      <c r="V712" s="13">
        <f t="shared" si="23"/>
        <v>8400</v>
      </c>
    </row>
    <row r="713" spans="1:22">
      <c r="A713" t="s">
        <v>1051</v>
      </c>
      <c r="B713" t="s">
        <v>135</v>
      </c>
      <c r="C713" t="s">
        <v>136</v>
      </c>
      <c r="D713" t="s">
        <v>24</v>
      </c>
      <c r="E713" t="s">
        <v>25</v>
      </c>
      <c r="F713" t="s">
        <v>58</v>
      </c>
      <c r="G713" t="s">
        <v>76</v>
      </c>
      <c r="H713" t="s">
        <v>1028</v>
      </c>
      <c r="I713" t="s">
        <v>69</v>
      </c>
      <c r="J713" t="s">
        <v>29</v>
      </c>
      <c r="K713" t="s">
        <v>41</v>
      </c>
      <c r="L713" s="4">
        <v>46026</v>
      </c>
      <c r="M713" s="4">
        <v>46054</v>
      </c>
      <c r="N713" s="4">
        <v>46042</v>
      </c>
      <c r="O713" t="s">
        <v>32</v>
      </c>
      <c r="P713" s="5">
        <v>1</v>
      </c>
      <c r="Q713" s="6">
        <v>7300</v>
      </c>
      <c r="R713" s="6">
        <v>7936.03</v>
      </c>
      <c r="S713">
        <v>3</v>
      </c>
      <c r="T713">
        <f t="shared" si="22"/>
        <v>0</v>
      </c>
      <c r="U713">
        <f>IF(COUNTIFS($B$2:B713,B713,$F$2:F713,F713)=1,1,0)</f>
        <v>0</v>
      </c>
      <c r="V713" s="13">
        <f t="shared" si="23"/>
        <v>-636.02999999999975</v>
      </c>
    </row>
    <row r="714" spans="1:22">
      <c r="A714" t="s">
        <v>1052</v>
      </c>
      <c r="B714" t="s">
        <v>138</v>
      </c>
      <c r="C714" t="s">
        <v>139</v>
      </c>
      <c r="D714" t="s">
        <v>36</v>
      </c>
      <c r="E714" t="s">
        <v>37</v>
      </c>
      <c r="F714" t="s">
        <v>66</v>
      </c>
      <c r="G714" t="s">
        <v>84</v>
      </c>
      <c r="H714" t="s">
        <v>1030</v>
      </c>
      <c r="I714" t="s">
        <v>29</v>
      </c>
      <c r="J714" t="s">
        <v>30</v>
      </c>
      <c r="K714" t="s">
        <v>31</v>
      </c>
      <c r="L714" s="4">
        <v>46065</v>
      </c>
      <c r="M714" s="4">
        <v>46073</v>
      </c>
      <c r="N714" s="4"/>
      <c r="O714" t="s">
        <v>52</v>
      </c>
      <c r="P714" s="5">
        <v>0.6</v>
      </c>
      <c r="Q714" s="6">
        <v>42600</v>
      </c>
      <c r="R714" s="6">
        <v>49023.040000000001</v>
      </c>
      <c r="S714">
        <v>2</v>
      </c>
      <c r="T714" t="str">
        <f t="shared" si="22"/>
        <v/>
      </c>
      <c r="U714">
        <f>IF(COUNTIFS($B$2:B714,B714,$F$2:F714,F714)=1,1,0)</f>
        <v>0</v>
      </c>
      <c r="V714" s="13">
        <f t="shared" si="23"/>
        <v>-6423.0400000000009</v>
      </c>
    </row>
    <row r="715" spans="1:22">
      <c r="A715" t="s">
        <v>1053</v>
      </c>
      <c r="B715" t="s">
        <v>141</v>
      </c>
      <c r="C715" t="s">
        <v>142</v>
      </c>
      <c r="D715" t="s">
        <v>46</v>
      </c>
      <c r="E715" t="s">
        <v>47</v>
      </c>
      <c r="F715" t="s">
        <v>75</v>
      </c>
      <c r="G715" t="s">
        <v>90</v>
      </c>
      <c r="H715" t="s">
        <v>1032</v>
      </c>
      <c r="I715" t="s">
        <v>86</v>
      </c>
      <c r="J715" t="s">
        <v>69</v>
      </c>
      <c r="K715" t="s">
        <v>51</v>
      </c>
      <c r="L715" s="4">
        <v>45734</v>
      </c>
      <c r="M715" s="4">
        <v>45739</v>
      </c>
      <c r="N715" s="4"/>
      <c r="O715" t="s">
        <v>109</v>
      </c>
      <c r="P715" s="5">
        <v>0.2</v>
      </c>
      <c r="Q715" s="6">
        <v>12900</v>
      </c>
      <c r="R715" s="6">
        <v>13130.72</v>
      </c>
      <c r="S715">
        <v>3</v>
      </c>
      <c r="T715" t="str">
        <f t="shared" si="22"/>
        <v/>
      </c>
      <c r="U715">
        <f>IF(COUNTIFS($B$2:B715,B715,$F$2:F715,F715)=1,1,0)</f>
        <v>0</v>
      </c>
      <c r="V715" s="13">
        <f t="shared" si="23"/>
        <v>-230.71999999999935</v>
      </c>
    </row>
    <row r="716" spans="1:22">
      <c r="A716" t="s">
        <v>1054</v>
      </c>
      <c r="B716" t="s">
        <v>145</v>
      </c>
      <c r="C716" t="s">
        <v>146</v>
      </c>
      <c r="D716" t="s">
        <v>56</v>
      </c>
      <c r="E716" t="s">
        <v>57</v>
      </c>
      <c r="F716" t="s">
        <v>26</v>
      </c>
      <c r="G716" t="s">
        <v>95</v>
      </c>
      <c r="H716" t="s">
        <v>1034</v>
      </c>
      <c r="I716" t="s">
        <v>69</v>
      </c>
      <c r="J716" t="s">
        <v>29</v>
      </c>
      <c r="K716" t="s">
        <v>31</v>
      </c>
      <c r="L716" s="4">
        <v>46044</v>
      </c>
      <c r="M716" s="4">
        <v>46052</v>
      </c>
      <c r="N716" s="4"/>
      <c r="O716" t="s">
        <v>109</v>
      </c>
      <c r="P716" s="5">
        <v>0.1</v>
      </c>
      <c r="Q716" s="6">
        <v>2100</v>
      </c>
      <c r="R716" s="6">
        <v>2082.7800000000002</v>
      </c>
      <c r="S716">
        <v>0</v>
      </c>
      <c r="T716" t="str">
        <f t="shared" si="22"/>
        <v/>
      </c>
      <c r="U716">
        <f>IF(COUNTIFS($B$2:B716,B716,$F$2:F716,F716)=1,1,0)</f>
        <v>0</v>
      </c>
      <c r="V716" s="13">
        <f t="shared" si="23"/>
        <v>17.2199999999998</v>
      </c>
    </row>
    <row r="717" spans="1:22">
      <c r="A717" t="s">
        <v>1055</v>
      </c>
      <c r="B717" t="s">
        <v>148</v>
      </c>
      <c r="C717" t="s">
        <v>149</v>
      </c>
      <c r="D717" t="s">
        <v>64</v>
      </c>
      <c r="E717" t="s">
        <v>65</v>
      </c>
      <c r="F717" t="s">
        <v>38</v>
      </c>
      <c r="G717" t="s">
        <v>27</v>
      </c>
      <c r="H717" t="s">
        <v>1036</v>
      </c>
      <c r="I717" t="s">
        <v>86</v>
      </c>
      <c r="J717" t="s">
        <v>29</v>
      </c>
      <c r="K717" t="s">
        <v>143</v>
      </c>
      <c r="L717" s="4">
        <v>45821</v>
      </c>
      <c r="M717" s="4">
        <v>45846</v>
      </c>
      <c r="N717" s="4"/>
      <c r="O717" t="s">
        <v>52</v>
      </c>
      <c r="P717" s="5">
        <v>0.9</v>
      </c>
      <c r="Q717" s="6">
        <v>36900</v>
      </c>
      <c r="R717" s="6">
        <v>36507.599999999999</v>
      </c>
      <c r="S717">
        <v>1</v>
      </c>
      <c r="T717" t="str">
        <f t="shared" si="22"/>
        <v/>
      </c>
      <c r="U717">
        <f>IF(COUNTIFS($B$2:B717,B717,$F$2:F717,F717)=1,1,0)</f>
        <v>0</v>
      </c>
      <c r="V717" s="13">
        <f t="shared" si="23"/>
        <v>392.40000000000146</v>
      </c>
    </row>
    <row r="718" spans="1:22">
      <c r="A718" t="s">
        <v>1056</v>
      </c>
      <c r="B718" t="s">
        <v>151</v>
      </c>
      <c r="C718" t="s">
        <v>152</v>
      </c>
      <c r="D718" t="s">
        <v>73</v>
      </c>
      <c r="E718" t="s">
        <v>74</v>
      </c>
      <c r="F718" t="s">
        <v>48</v>
      </c>
      <c r="G718" t="s">
        <v>39</v>
      </c>
      <c r="H718" t="s">
        <v>1038</v>
      </c>
      <c r="I718" t="s">
        <v>29</v>
      </c>
      <c r="J718" t="s">
        <v>30</v>
      </c>
      <c r="K718" t="s">
        <v>31</v>
      </c>
      <c r="L718" s="4">
        <v>46084</v>
      </c>
      <c r="M718" s="4">
        <v>46113</v>
      </c>
      <c r="N718" s="4"/>
      <c r="O718" t="s">
        <v>52</v>
      </c>
      <c r="P718" s="5">
        <v>0.85</v>
      </c>
      <c r="Q718" s="6">
        <v>9700</v>
      </c>
      <c r="R718" s="6">
        <v>11652.44</v>
      </c>
      <c r="S718">
        <v>2</v>
      </c>
      <c r="T718" t="str">
        <f t="shared" si="22"/>
        <v/>
      </c>
      <c r="U718">
        <f>IF(COUNTIFS($B$2:B718,B718,$F$2:F718,F718)=1,1,0)</f>
        <v>0</v>
      </c>
      <c r="V718" s="13">
        <f t="shared" si="23"/>
        <v>-1952.4400000000005</v>
      </c>
    </row>
    <row r="719" spans="1:22">
      <c r="A719" t="s">
        <v>1057</v>
      </c>
      <c r="B719" t="s">
        <v>154</v>
      </c>
      <c r="C719" t="s">
        <v>155</v>
      </c>
      <c r="D719" t="s">
        <v>82</v>
      </c>
      <c r="E719" t="s">
        <v>83</v>
      </c>
      <c r="F719" t="s">
        <v>58</v>
      </c>
      <c r="G719" t="s">
        <v>49</v>
      </c>
      <c r="H719" t="s">
        <v>1022</v>
      </c>
      <c r="I719" t="s">
        <v>30</v>
      </c>
      <c r="J719" t="s">
        <v>69</v>
      </c>
      <c r="K719" t="s">
        <v>31</v>
      </c>
      <c r="L719" s="4">
        <v>46110</v>
      </c>
      <c r="M719" s="4">
        <v>46120</v>
      </c>
      <c r="N719" s="4"/>
      <c r="O719" t="s">
        <v>52</v>
      </c>
      <c r="P719" s="5">
        <v>0.85</v>
      </c>
      <c r="Q719" s="6">
        <v>29700</v>
      </c>
      <c r="R719" s="6">
        <v>37026.97</v>
      </c>
      <c r="S719">
        <v>4</v>
      </c>
      <c r="T719" t="str">
        <f t="shared" si="22"/>
        <v/>
      </c>
      <c r="U719">
        <f>IF(COUNTIFS($B$2:B719,B719,$F$2:F719,F719)=1,1,0)</f>
        <v>0</v>
      </c>
      <c r="V719" s="13">
        <f t="shared" si="23"/>
        <v>-7326.9700000000012</v>
      </c>
    </row>
    <row r="720" spans="1:22">
      <c r="A720" t="s">
        <v>1058</v>
      </c>
      <c r="B720" t="s">
        <v>157</v>
      </c>
      <c r="C720" t="s">
        <v>158</v>
      </c>
      <c r="D720" t="s">
        <v>24</v>
      </c>
      <c r="E720" t="s">
        <v>25</v>
      </c>
      <c r="F720" t="s">
        <v>66</v>
      </c>
      <c r="G720" t="s">
        <v>59</v>
      </c>
      <c r="H720" t="s">
        <v>1024</v>
      </c>
      <c r="I720" t="s">
        <v>69</v>
      </c>
      <c r="J720" t="s">
        <v>69</v>
      </c>
      <c r="K720" t="s">
        <v>31</v>
      </c>
      <c r="L720" s="4">
        <v>46076</v>
      </c>
      <c r="M720" s="4">
        <v>46101</v>
      </c>
      <c r="N720" s="4"/>
      <c r="O720" t="s">
        <v>52</v>
      </c>
      <c r="P720" s="5">
        <v>0.6</v>
      </c>
      <c r="Q720" s="6">
        <v>33500</v>
      </c>
      <c r="R720" s="6">
        <v>37971.760000000002</v>
      </c>
      <c r="S720">
        <v>3</v>
      </c>
      <c r="T720" t="str">
        <f t="shared" si="22"/>
        <v/>
      </c>
      <c r="U720">
        <f>IF(COUNTIFS($B$2:B720,B720,$F$2:F720,F720)=1,1,0)</f>
        <v>0</v>
      </c>
      <c r="V720" s="13">
        <f t="shared" si="23"/>
        <v>-4471.760000000002</v>
      </c>
    </row>
    <row r="721" spans="1:22">
      <c r="A721" t="s">
        <v>1059</v>
      </c>
      <c r="B721" t="s">
        <v>160</v>
      </c>
      <c r="C721" t="s">
        <v>161</v>
      </c>
      <c r="D721" t="s">
        <v>36</v>
      </c>
      <c r="E721" t="s">
        <v>37</v>
      </c>
      <c r="F721" t="s">
        <v>75</v>
      </c>
      <c r="G721" t="s">
        <v>76</v>
      </c>
      <c r="H721" t="s">
        <v>1028</v>
      </c>
      <c r="I721" t="s">
        <v>30</v>
      </c>
      <c r="J721" t="s">
        <v>30</v>
      </c>
      <c r="K721" t="s">
        <v>31</v>
      </c>
      <c r="L721" s="4">
        <v>46032</v>
      </c>
      <c r="M721" s="4">
        <v>46054</v>
      </c>
      <c r="N721" s="4">
        <v>46059</v>
      </c>
      <c r="O721" t="s">
        <v>32</v>
      </c>
      <c r="P721" s="5">
        <v>1</v>
      </c>
      <c r="Q721" s="6">
        <v>43600</v>
      </c>
      <c r="R721" s="6">
        <v>37976.04</v>
      </c>
      <c r="S721">
        <v>0</v>
      </c>
      <c r="T721">
        <f t="shared" si="22"/>
        <v>5</v>
      </c>
      <c r="U721">
        <f>IF(COUNTIFS($B$2:B721,B721,$F$2:F721,F721)=1,1,0)</f>
        <v>0</v>
      </c>
      <c r="V721" s="13">
        <f t="shared" si="23"/>
        <v>5623.9599999999991</v>
      </c>
    </row>
    <row r="722" spans="1:22">
      <c r="A722" t="s">
        <v>1060</v>
      </c>
      <c r="B722" t="s">
        <v>22</v>
      </c>
      <c r="C722" t="s">
        <v>23</v>
      </c>
      <c r="D722" t="s">
        <v>24</v>
      </c>
      <c r="E722" t="s">
        <v>25</v>
      </c>
      <c r="F722" t="s">
        <v>26</v>
      </c>
      <c r="G722" t="s">
        <v>84</v>
      </c>
      <c r="H722" t="s">
        <v>1061</v>
      </c>
      <c r="I722" t="s">
        <v>30</v>
      </c>
      <c r="J722" t="s">
        <v>30</v>
      </c>
      <c r="K722" t="s">
        <v>51</v>
      </c>
      <c r="L722" s="4">
        <v>46067</v>
      </c>
      <c r="M722" s="4">
        <v>46082</v>
      </c>
      <c r="N722" s="4">
        <v>46094</v>
      </c>
      <c r="O722" t="s">
        <v>32</v>
      </c>
      <c r="P722" s="5">
        <v>1</v>
      </c>
      <c r="Q722" s="6">
        <v>3300</v>
      </c>
      <c r="R722" s="6">
        <v>3931.87</v>
      </c>
      <c r="S722">
        <v>2</v>
      </c>
      <c r="T722">
        <f t="shared" si="22"/>
        <v>12</v>
      </c>
      <c r="U722">
        <f>IF(COUNTIFS($B$2:B722,B722,$F$2:F722,F722)=1,1,0)</f>
        <v>0</v>
      </c>
      <c r="V722" s="13">
        <f t="shared" si="23"/>
        <v>-631.86999999999989</v>
      </c>
    </row>
    <row r="723" spans="1:22">
      <c r="A723" t="s">
        <v>1062</v>
      </c>
      <c r="B723" t="s">
        <v>34</v>
      </c>
      <c r="C723" t="s">
        <v>35</v>
      </c>
      <c r="D723" t="s">
        <v>36</v>
      </c>
      <c r="E723" t="s">
        <v>37</v>
      </c>
      <c r="F723" t="s">
        <v>38</v>
      </c>
      <c r="G723" t="s">
        <v>90</v>
      </c>
      <c r="H723" t="s">
        <v>1063</v>
      </c>
      <c r="I723" t="s">
        <v>29</v>
      </c>
      <c r="J723" t="s">
        <v>30</v>
      </c>
      <c r="K723" t="s">
        <v>143</v>
      </c>
      <c r="L723" s="4">
        <v>45742</v>
      </c>
      <c r="M723" s="4">
        <v>45755</v>
      </c>
      <c r="N723" s="4">
        <v>45761</v>
      </c>
      <c r="O723" t="s">
        <v>32</v>
      </c>
      <c r="P723" s="5">
        <v>1</v>
      </c>
      <c r="Q723" s="6">
        <v>20300</v>
      </c>
      <c r="R723" s="6">
        <v>20579.509999999998</v>
      </c>
      <c r="S723">
        <v>2</v>
      </c>
      <c r="T723">
        <f t="shared" si="22"/>
        <v>6</v>
      </c>
      <c r="U723">
        <f>IF(COUNTIFS($B$2:B723,B723,$F$2:F723,F723)=1,1,0)</f>
        <v>0</v>
      </c>
      <c r="V723" s="13">
        <f t="shared" si="23"/>
        <v>-279.5099999999984</v>
      </c>
    </row>
    <row r="724" spans="1:22">
      <c r="A724" t="s">
        <v>1064</v>
      </c>
      <c r="B724" t="s">
        <v>44</v>
      </c>
      <c r="C724" t="s">
        <v>45</v>
      </c>
      <c r="D724" t="s">
        <v>46</v>
      </c>
      <c r="E724" t="s">
        <v>47</v>
      </c>
      <c r="F724" t="s">
        <v>48</v>
      </c>
      <c r="G724" t="s">
        <v>95</v>
      </c>
      <c r="H724" t="s">
        <v>1065</v>
      </c>
      <c r="I724" t="s">
        <v>86</v>
      </c>
      <c r="J724" t="s">
        <v>30</v>
      </c>
      <c r="K724" t="s">
        <v>178</v>
      </c>
      <c r="L724" s="4">
        <v>45746</v>
      </c>
      <c r="M724" s="4">
        <v>45772</v>
      </c>
      <c r="N724" s="4"/>
      <c r="O724" t="s">
        <v>32</v>
      </c>
      <c r="P724" s="5">
        <v>0.6</v>
      </c>
      <c r="Q724" s="6">
        <v>13800</v>
      </c>
      <c r="R724" s="6">
        <v>15572.79</v>
      </c>
      <c r="S724">
        <v>0</v>
      </c>
      <c r="T724" t="str">
        <f t="shared" si="22"/>
        <v/>
      </c>
      <c r="U724">
        <f>IF(COUNTIFS($B$2:B724,B724,$F$2:F724,F724)=1,1,0)</f>
        <v>0</v>
      </c>
      <c r="V724" s="13">
        <f t="shared" si="23"/>
        <v>-1772.7900000000009</v>
      </c>
    </row>
    <row r="725" spans="1:22">
      <c r="A725" t="s">
        <v>1066</v>
      </c>
      <c r="B725" t="s">
        <v>54</v>
      </c>
      <c r="C725" t="s">
        <v>55</v>
      </c>
      <c r="D725" t="s">
        <v>56</v>
      </c>
      <c r="E725" t="s">
        <v>57</v>
      </c>
      <c r="F725" t="s">
        <v>58</v>
      </c>
      <c r="G725" t="s">
        <v>27</v>
      </c>
      <c r="H725" t="s">
        <v>1067</v>
      </c>
      <c r="I725" t="s">
        <v>69</v>
      </c>
      <c r="J725" t="s">
        <v>30</v>
      </c>
      <c r="K725" t="s">
        <v>31</v>
      </c>
      <c r="L725" s="4">
        <v>46084</v>
      </c>
      <c r="M725" s="4">
        <v>46097</v>
      </c>
      <c r="N725" s="4">
        <v>46082</v>
      </c>
      <c r="O725" t="s">
        <v>32</v>
      </c>
      <c r="P725" s="5">
        <v>1</v>
      </c>
      <c r="Q725" s="6">
        <v>25700</v>
      </c>
      <c r="R725" s="6">
        <v>26593.23</v>
      </c>
      <c r="S725">
        <v>3</v>
      </c>
      <c r="T725">
        <f t="shared" si="22"/>
        <v>0</v>
      </c>
      <c r="U725">
        <f>IF(COUNTIFS($B$2:B725,B725,$F$2:F725,F725)=1,1,0)</f>
        <v>0</v>
      </c>
      <c r="V725" s="13">
        <f t="shared" si="23"/>
        <v>-893.22999999999956</v>
      </c>
    </row>
    <row r="726" spans="1:22">
      <c r="A726" t="s">
        <v>1068</v>
      </c>
      <c r="B726" t="s">
        <v>62</v>
      </c>
      <c r="C726" t="s">
        <v>63</v>
      </c>
      <c r="D726" t="s">
        <v>64</v>
      </c>
      <c r="E726" t="s">
        <v>65</v>
      </c>
      <c r="F726" t="s">
        <v>66</v>
      </c>
      <c r="G726" t="s">
        <v>39</v>
      </c>
      <c r="H726" t="s">
        <v>1069</v>
      </c>
      <c r="I726" t="s">
        <v>29</v>
      </c>
      <c r="J726" t="s">
        <v>30</v>
      </c>
      <c r="K726" t="s">
        <v>31</v>
      </c>
      <c r="L726" s="4">
        <v>45849</v>
      </c>
      <c r="M726" s="4">
        <v>45853</v>
      </c>
      <c r="N726" s="4">
        <v>45850</v>
      </c>
      <c r="O726" t="s">
        <v>32</v>
      </c>
      <c r="P726" s="5">
        <v>1</v>
      </c>
      <c r="Q726" s="6">
        <v>8600</v>
      </c>
      <c r="R726" s="6">
        <v>8312.16</v>
      </c>
      <c r="S726">
        <v>1</v>
      </c>
      <c r="T726">
        <f t="shared" si="22"/>
        <v>0</v>
      </c>
      <c r="U726">
        <f>IF(COUNTIFS($B$2:B726,B726,$F$2:F726,F726)=1,1,0)</f>
        <v>0</v>
      </c>
      <c r="V726" s="13">
        <f t="shared" si="23"/>
        <v>287.84000000000015</v>
      </c>
    </row>
    <row r="727" spans="1:22">
      <c r="A727" t="s">
        <v>1070</v>
      </c>
      <c r="B727" t="s">
        <v>71</v>
      </c>
      <c r="C727" t="s">
        <v>72</v>
      </c>
      <c r="D727" t="s">
        <v>73</v>
      </c>
      <c r="E727" t="s">
        <v>74</v>
      </c>
      <c r="F727" t="s">
        <v>75</v>
      </c>
      <c r="G727" t="s">
        <v>49</v>
      </c>
      <c r="H727" t="s">
        <v>1071</v>
      </c>
      <c r="I727" t="s">
        <v>69</v>
      </c>
      <c r="J727" t="s">
        <v>30</v>
      </c>
      <c r="K727" t="s">
        <v>31</v>
      </c>
      <c r="L727" s="4">
        <v>45931</v>
      </c>
      <c r="M727" s="4">
        <v>45949</v>
      </c>
      <c r="N727" s="4"/>
      <c r="O727" t="s">
        <v>32</v>
      </c>
      <c r="P727" s="5">
        <v>0.25</v>
      </c>
      <c r="Q727" s="6">
        <v>38300</v>
      </c>
      <c r="R727" s="6">
        <v>40516.57</v>
      </c>
      <c r="S727">
        <v>1</v>
      </c>
      <c r="T727" t="str">
        <f t="shared" si="22"/>
        <v/>
      </c>
      <c r="U727">
        <f>IF(COUNTIFS($B$2:B727,B727,$F$2:F727,F727)=1,1,0)</f>
        <v>0</v>
      </c>
      <c r="V727" s="13">
        <f t="shared" si="23"/>
        <v>-2216.5699999999997</v>
      </c>
    </row>
    <row r="728" spans="1:22">
      <c r="A728" t="s">
        <v>1072</v>
      </c>
      <c r="B728" t="s">
        <v>80</v>
      </c>
      <c r="C728" t="s">
        <v>81</v>
      </c>
      <c r="D728" t="s">
        <v>82</v>
      </c>
      <c r="E728" t="s">
        <v>83</v>
      </c>
      <c r="F728" t="s">
        <v>26</v>
      </c>
      <c r="G728" t="s">
        <v>59</v>
      </c>
      <c r="H728" t="s">
        <v>1073</v>
      </c>
      <c r="I728" t="s">
        <v>30</v>
      </c>
      <c r="J728" t="s">
        <v>69</v>
      </c>
      <c r="K728" t="s">
        <v>31</v>
      </c>
      <c r="L728" s="4">
        <v>45820</v>
      </c>
      <c r="M728" s="4">
        <v>45846</v>
      </c>
      <c r="N728" s="4">
        <v>45846</v>
      </c>
      <c r="O728" t="s">
        <v>32</v>
      </c>
      <c r="P728" s="5">
        <v>1</v>
      </c>
      <c r="Q728" s="6">
        <v>27000</v>
      </c>
      <c r="R728" s="6">
        <v>35077.75</v>
      </c>
      <c r="S728">
        <v>0</v>
      </c>
      <c r="T728">
        <f t="shared" si="22"/>
        <v>0</v>
      </c>
      <c r="U728">
        <f>IF(COUNTIFS($B$2:B728,B728,$F$2:F728,F728)=1,1,0)</f>
        <v>0</v>
      </c>
      <c r="V728" s="13">
        <f t="shared" si="23"/>
        <v>-8077.75</v>
      </c>
    </row>
    <row r="729" spans="1:22">
      <c r="A729" t="s">
        <v>1074</v>
      </c>
      <c r="B729" t="s">
        <v>88</v>
      </c>
      <c r="C729" t="s">
        <v>89</v>
      </c>
      <c r="D729" t="s">
        <v>24</v>
      </c>
      <c r="E729" t="s">
        <v>25</v>
      </c>
      <c r="F729" t="s">
        <v>38</v>
      </c>
      <c r="G729" t="s">
        <v>67</v>
      </c>
      <c r="H729" t="s">
        <v>1075</v>
      </c>
      <c r="I729" t="s">
        <v>29</v>
      </c>
      <c r="J729" t="s">
        <v>29</v>
      </c>
      <c r="K729" t="s">
        <v>31</v>
      </c>
      <c r="L729" s="4">
        <v>45753</v>
      </c>
      <c r="M729" s="4">
        <v>45763</v>
      </c>
      <c r="N729" s="4">
        <v>45756</v>
      </c>
      <c r="O729" t="s">
        <v>32</v>
      </c>
      <c r="P729" s="5">
        <v>1</v>
      </c>
      <c r="Q729" s="6">
        <v>30900</v>
      </c>
      <c r="R729" s="6">
        <v>32110.41</v>
      </c>
      <c r="S729">
        <v>2</v>
      </c>
      <c r="T729">
        <f t="shared" si="22"/>
        <v>0</v>
      </c>
      <c r="U729">
        <f>IF(COUNTIFS($B$2:B729,B729,$F$2:F729,F729)=1,1,0)</f>
        <v>0</v>
      </c>
      <c r="V729" s="13">
        <f t="shared" si="23"/>
        <v>-1210.4099999999999</v>
      </c>
    </row>
    <row r="730" spans="1:22">
      <c r="A730" t="s">
        <v>1076</v>
      </c>
      <c r="B730" t="s">
        <v>93</v>
      </c>
      <c r="C730" t="s">
        <v>94</v>
      </c>
      <c r="D730" t="s">
        <v>36</v>
      </c>
      <c r="E730" t="s">
        <v>37</v>
      </c>
      <c r="F730" t="s">
        <v>48</v>
      </c>
      <c r="G730" t="s">
        <v>76</v>
      </c>
      <c r="H730" t="s">
        <v>1077</v>
      </c>
      <c r="I730" t="s">
        <v>69</v>
      </c>
      <c r="J730" t="s">
        <v>29</v>
      </c>
      <c r="K730" t="s">
        <v>31</v>
      </c>
      <c r="L730" s="4">
        <v>46067</v>
      </c>
      <c r="M730" s="4">
        <v>46096</v>
      </c>
      <c r="N730" s="4"/>
      <c r="O730" t="s">
        <v>52</v>
      </c>
      <c r="P730" s="5">
        <v>0.25</v>
      </c>
      <c r="Q730" s="6">
        <v>5000</v>
      </c>
      <c r="R730" s="6">
        <v>5492.06</v>
      </c>
      <c r="S730">
        <v>0</v>
      </c>
      <c r="T730" t="str">
        <f t="shared" si="22"/>
        <v/>
      </c>
      <c r="U730">
        <f>IF(COUNTIFS($B$2:B730,B730,$F$2:F730,F730)=1,1,0)</f>
        <v>0</v>
      </c>
      <c r="V730" s="13">
        <f t="shared" si="23"/>
        <v>-492.0600000000004</v>
      </c>
    </row>
    <row r="731" spans="1:22">
      <c r="A731" t="s">
        <v>1078</v>
      </c>
      <c r="B731" t="s">
        <v>98</v>
      </c>
      <c r="C731" t="s">
        <v>99</v>
      </c>
      <c r="D731" t="s">
        <v>46</v>
      </c>
      <c r="E731" t="s">
        <v>47</v>
      </c>
      <c r="F731" t="s">
        <v>58</v>
      </c>
      <c r="G731" t="s">
        <v>84</v>
      </c>
      <c r="H731" t="s">
        <v>1061</v>
      </c>
      <c r="I731" t="s">
        <v>29</v>
      </c>
      <c r="J731" t="s">
        <v>69</v>
      </c>
      <c r="K731" t="s">
        <v>51</v>
      </c>
      <c r="L731" s="4">
        <v>45716</v>
      </c>
      <c r="M731" s="4">
        <v>45729</v>
      </c>
      <c r="N731" s="4"/>
      <c r="O731" t="s">
        <v>109</v>
      </c>
      <c r="P731" s="5">
        <v>0.65</v>
      </c>
      <c r="Q731" s="6">
        <v>42900</v>
      </c>
      <c r="R731" s="6">
        <v>42432.17</v>
      </c>
      <c r="S731">
        <v>5</v>
      </c>
      <c r="T731" t="str">
        <f t="shared" si="22"/>
        <v/>
      </c>
      <c r="U731">
        <f>IF(COUNTIFS($B$2:B731,B731,$F$2:F731,F731)=1,1,0)</f>
        <v>0</v>
      </c>
      <c r="V731" s="13">
        <f t="shared" si="23"/>
        <v>467.83000000000175</v>
      </c>
    </row>
    <row r="732" spans="1:22">
      <c r="A732" t="s">
        <v>1079</v>
      </c>
      <c r="B732" t="s">
        <v>101</v>
      </c>
      <c r="C732" t="s">
        <v>102</v>
      </c>
      <c r="D732" t="s">
        <v>56</v>
      </c>
      <c r="E732" t="s">
        <v>57</v>
      </c>
      <c r="F732" t="s">
        <v>66</v>
      </c>
      <c r="G732" t="s">
        <v>90</v>
      </c>
      <c r="H732" t="s">
        <v>1063</v>
      </c>
      <c r="I732" t="s">
        <v>69</v>
      </c>
      <c r="J732" t="s">
        <v>69</v>
      </c>
      <c r="K732" t="s">
        <v>143</v>
      </c>
      <c r="L732" s="4">
        <v>46063</v>
      </c>
      <c r="M732" s="4">
        <v>46093</v>
      </c>
      <c r="N732" s="4"/>
      <c r="O732" t="s">
        <v>42</v>
      </c>
      <c r="P732" s="5">
        <v>0</v>
      </c>
      <c r="Q732" s="6">
        <v>29500</v>
      </c>
      <c r="R732" s="6">
        <v>0</v>
      </c>
      <c r="S732">
        <v>3</v>
      </c>
      <c r="T732" t="str">
        <f t="shared" si="22"/>
        <v/>
      </c>
      <c r="U732">
        <f>IF(COUNTIFS($B$2:B732,B732,$F$2:F732,F732)=1,1,0)</f>
        <v>0</v>
      </c>
      <c r="V732" s="13">
        <f t="shared" si="23"/>
        <v>29500</v>
      </c>
    </row>
    <row r="733" spans="1:22">
      <c r="A733" t="s">
        <v>1080</v>
      </c>
      <c r="B733" t="s">
        <v>104</v>
      </c>
      <c r="C733" t="s">
        <v>105</v>
      </c>
      <c r="D733" t="s">
        <v>64</v>
      </c>
      <c r="E733" t="s">
        <v>65</v>
      </c>
      <c r="F733" t="s">
        <v>75</v>
      </c>
      <c r="G733" t="s">
        <v>95</v>
      </c>
      <c r="H733" t="s">
        <v>1065</v>
      </c>
      <c r="I733" t="s">
        <v>30</v>
      </c>
      <c r="J733" t="s">
        <v>69</v>
      </c>
      <c r="K733" t="s">
        <v>31</v>
      </c>
      <c r="L733" s="4">
        <v>46144</v>
      </c>
      <c r="M733" s="4">
        <v>46155</v>
      </c>
      <c r="N733" s="4"/>
      <c r="O733" t="s">
        <v>42</v>
      </c>
      <c r="P733" s="5">
        <v>0</v>
      </c>
      <c r="Q733" s="6">
        <v>43500</v>
      </c>
      <c r="R733" s="6">
        <v>0</v>
      </c>
      <c r="S733">
        <v>3</v>
      </c>
      <c r="T733" t="str">
        <f t="shared" si="22"/>
        <v/>
      </c>
      <c r="U733">
        <f>IF(COUNTIFS($B$2:B733,B733,$F$2:F733,F733)=1,1,0)</f>
        <v>0</v>
      </c>
      <c r="V733" s="13">
        <f t="shared" si="23"/>
        <v>43500</v>
      </c>
    </row>
    <row r="734" spans="1:22">
      <c r="A734" t="s">
        <v>1081</v>
      </c>
      <c r="B734" t="s">
        <v>107</v>
      </c>
      <c r="C734" t="s">
        <v>108</v>
      </c>
      <c r="D734" t="s">
        <v>73</v>
      </c>
      <c r="E734" t="s">
        <v>74</v>
      </c>
      <c r="F734" t="s">
        <v>26</v>
      </c>
      <c r="G734" t="s">
        <v>27</v>
      </c>
      <c r="H734" t="s">
        <v>1067</v>
      </c>
      <c r="I734" t="s">
        <v>69</v>
      </c>
      <c r="J734" t="s">
        <v>30</v>
      </c>
      <c r="K734" t="s">
        <v>78</v>
      </c>
      <c r="L734" s="4">
        <v>46014</v>
      </c>
      <c r="M734" s="4">
        <v>46037</v>
      </c>
      <c r="N734" s="4">
        <v>46037</v>
      </c>
      <c r="O734" t="s">
        <v>32</v>
      </c>
      <c r="P734" s="5">
        <v>1</v>
      </c>
      <c r="Q734" s="6">
        <v>22900</v>
      </c>
      <c r="R734" s="6">
        <v>22305.97</v>
      </c>
      <c r="S734">
        <v>0</v>
      </c>
      <c r="T734">
        <f t="shared" si="22"/>
        <v>0</v>
      </c>
      <c r="U734">
        <f>IF(COUNTIFS($B$2:B734,B734,$F$2:F734,F734)=1,1,0)</f>
        <v>0</v>
      </c>
      <c r="V734" s="13">
        <f t="shared" si="23"/>
        <v>594.02999999999884</v>
      </c>
    </row>
    <row r="735" spans="1:22">
      <c r="A735" t="s">
        <v>1082</v>
      </c>
      <c r="B735" t="s">
        <v>111</v>
      </c>
      <c r="C735" t="s">
        <v>112</v>
      </c>
      <c r="D735" t="s">
        <v>82</v>
      </c>
      <c r="E735" t="s">
        <v>83</v>
      </c>
      <c r="F735" t="s">
        <v>38</v>
      </c>
      <c r="G735" t="s">
        <v>39</v>
      </c>
      <c r="H735" t="s">
        <v>1069</v>
      </c>
      <c r="I735" t="s">
        <v>29</v>
      </c>
      <c r="J735" t="s">
        <v>29</v>
      </c>
      <c r="K735" t="s">
        <v>31</v>
      </c>
      <c r="L735" s="4">
        <v>45731</v>
      </c>
      <c r="M735" s="4">
        <v>45760</v>
      </c>
      <c r="N735" s="4"/>
      <c r="O735" t="s">
        <v>52</v>
      </c>
      <c r="P735" s="5">
        <v>0.4</v>
      </c>
      <c r="Q735" s="6">
        <v>22800</v>
      </c>
      <c r="R735" s="6">
        <v>25129.84</v>
      </c>
      <c r="S735">
        <v>3</v>
      </c>
      <c r="T735" t="str">
        <f t="shared" si="22"/>
        <v/>
      </c>
      <c r="U735">
        <f>IF(COUNTIFS($B$2:B735,B735,$F$2:F735,F735)=1,1,0)</f>
        <v>0</v>
      </c>
      <c r="V735" s="13">
        <f t="shared" si="23"/>
        <v>-2329.84</v>
      </c>
    </row>
    <row r="736" spans="1:22">
      <c r="A736" t="s">
        <v>1083</v>
      </c>
      <c r="B736" t="s">
        <v>114</v>
      </c>
      <c r="C736" t="s">
        <v>115</v>
      </c>
      <c r="D736" t="s">
        <v>24</v>
      </c>
      <c r="E736" t="s">
        <v>25</v>
      </c>
      <c r="F736" t="s">
        <v>48</v>
      </c>
      <c r="G736" t="s">
        <v>49</v>
      </c>
      <c r="H736" t="s">
        <v>1071</v>
      </c>
      <c r="I736" t="s">
        <v>29</v>
      </c>
      <c r="J736" t="s">
        <v>30</v>
      </c>
      <c r="K736" t="s">
        <v>78</v>
      </c>
      <c r="L736" s="4">
        <v>46059</v>
      </c>
      <c r="M736" s="4">
        <v>46081</v>
      </c>
      <c r="N736" s="4"/>
      <c r="O736" t="s">
        <v>52</v>
      </c>
      <c r="P736" s="5">
        <v>0.85</v>
      </c>
      <c r="Q736" s="6">
        <v>20000</v>
      </c>
      <c r="R736" s="6">
        <v>18749.75</v>
      </c>
      <c r="S736">
        <v>2</v>
      </c>
      <c r="T736" t="str">
        <f t="shared" si="22"/>
        <v/>
      </c>
      <c r="U736">
        <f>IF(COUNTIFS($B$2:B736,B736,$F$2:F736,F736)=1,1,0)</f>
        <v>0</v>
      </c>
      <c r="V736" s="13">
        <f t="shared" si="23"/>
        <v>1250.25</v>
      </c>
    </row>
    <row r="737" spans="1:22">
      <c r="A737" t="s">
        <v>1084</v>
      </c>
      <c r="B737" t="s">
        <v>117</v>
      </c>
      <c r="C737" t="s">
        <v>118</v>
      </c>
      <c r="D737" t="s">
        <v>36</v>
      </c>
      <c r="E737" t="s">
        <v>37</v>
      </c>
      <c r="F737" t="s">
        <v>58</v>
      </c>
      <c r="G737" t="s">
        <v>59</v>
      </c>
      <c r="H737" t="s">
        <v>1073</v>
      </c>
      <c r="I737" t="s">
        <v>29</v>
      </c>
      <c r="J737" t="s">
        <v>30</v>
      </c>
      <c r="K737" t="s">
        <v>78</v>
      </c>
      <c r="L737" s="4">
        <v>45918</v>
      </c>
      <c r="M737" s="4">
        <v>45936</v>
      </c>
      <c r="N737" s="4">
        <v>45940</v>
      </c>
      <c r="O737" t="s">
        <v>32</v>
      </c>
      <c r="P737" s="5">
        <v>1</v>
      </c>
      <c r="Q737" s="6">
        <v>29700</v>
      </c>
      <c r="R737" s="6">
        <v>33466.36</v>
      </c>
      <c r="S737">
        <v>2</v>
      </c>
      <c r="T737">
        <f t="shared" si="22"/>
        <v>4</v>
      </c>
      <c r="U737">
        <f>IF(COUNTIFS($B$2:B737,B737,$F$2:F737,F737)=1,1,0)</f>
        <v>0</v>
      </c>
      <c r="V737" s="13">
        <f t="shared" si="23"/>
        <v>-3766.3600000000006</v>
      </c>
    </row>
    <row r="738" spans="1:22">
      <c r="A738" t="s">
        <v>1085</v>
      </c>
      <c r="B738" t="s">
        <v>120</v>
      </c>
      <c r="C738" t="s">
        <v>121</v>
      </c>
      <c r="D738" t="s">
        <v>46</v>
      </c>
      <c r="E738" t="s">
        <v>47</v>
      </c>
      <c r="F738" t="s">
        <v>66</v>
      </c>
      <c r="G738" t="s">
        <v>67</v>
      </c>
      <c r="H738" t="s">
        <v>1075</v>
      </c>
      <c r="I738" t="s">
        <v>30</v>
      </c>
      <c r="J738" t="s">
        <v>29</v>
      </c>
      <c r="K738" t="s">
        <v>31</v>
      </c>
      <c r="L738" s="4">
        <v>45711</v>
      </c>
      <c r="M738" s="4">
        <v>45735</v>
      </c>
      <c r="N738" s="4">
        <v>45742</v>
      </c>
      <c r="O738" t="s">
        <v>32</v>
      </c>
      <c r="P738" s="5">
        <v>1</v>
      </c>
      <c r="Q738" s="6">
        <v>14400</v>
      </c>
      <c r="R738" s="6">
        <v>13070.55</v>
      </c>
      <c r="S738">
        <v>2</v>
      </c>
      <c r="T738">
        <f t="shared" si="22"/>
        <v>7</v>
      </c>
      <c r="U738">
        <f>IF(COUNTIFS($B$2:B738,B738,$F$2:F738,F738)=1,1,0)</f>
        <v>0</v>
      </c>
      <c r="V738" s="13">
        <f t="shared" si="23"/>
        <v>1329.4500000000007</v>
      </c>
    </row>
    <row r="739" spans="1:22">
      <c r="A739" t="s">
        <v>1086</v>
      </c>
      <c r="B739" t="s">
        <v>123</v>
      </c>
      <c r="C739" t="s">
        <v>124</v>
      </c>
      <c r="D739" t="s">
        <v>56</v>
      </c>
      <c r="E739" t="s">
        <v>57</v>
      </c>
      <c r="F739" t="s">
        <v>75</v>
      </c>
      <c r="G739" t="s">
        <v>76</v>
      </c>
      <c r="H739" t="s">
        <v>1077</v>
      </c>
      <c r="I739" t="s">
        <v>30</v>
      </c>
      <c r="J739" t="s">
        <v>30</v>
      </c>
      <c r="K739" t="s">
        <v>31</v>
      </c>
      <c r="L739" s="4">
        <v>45702</v>
      </c>
      <c r="M739" s="4">
        <v>45719</v>
      </c>
      <c r="N739" s="4">
        <v>45722</v>
      </c>
      <c r="O739" t="s">
        <v>32</v>
      </c>
      <c r="P739" s="5">
        <v>1</v>
      </c>
      <c r="Q739" s="6">
        <v>26200</v>
      </c>
      <c r="R739" s="6">
        <v>26677.05</v>
      </c>
      <c r="S739">
        <v>2</v>
      </c>
      <c r="T739">
        <f t="shared" si="22"/>
        <v>3</v>
      </c>
      <c r="U739">
        <f>IF(COUNTIFS($B$2:B739,B739,$F$2:F739,F739)=1,1,0)</f>
        <v>0</v>
      </c>
      <c r="V739" s="13">
        <f t="shared" si="23"/>
        <v>-477.04999999999927</v>
      </c>
    </row>
    <row r="740" spans="1:22">
      <c r="A740" t="s">
        <v>1087</v>
      </c>
      <c r="B740" t="s">
        <v>126</v>
      </c>
      <c r="C740" t="s">
        <v>127</v>
      </c>
      <c r="D740" t="s">
        <v>64</v>
      </c>
      <c r="E740" t="s">
        <v>65</v>
      </c>
      <c r="F740" t="s">
        <v>26</v>
      </c>
      <c r="G740" t="s">
        <v>84</v>
      </c>
      <c r="H740" t="s">
        <v>1061</v>
      </c>
      <c r="I740" t="s">
        <v>30</v>
      </c>
      <c r="J740" t="s">
        <v>30</v>
      </c>
      <c r="K740" t="s">
        <v>31</v>
      </c>
      <c r="L740" s="4">
        <v>45828</v>
      </c>
      <c r="M740" s="4">
        <v>45836</v>
      </c>
      <c r="N740" s="4">
        <v>45839</v>
      </c>
      <c r="O740" t="s">
        <v>32</v>
      </c>
      <c r="P740" s="5">
        <v>1</v>
      </c>
      <c r="Q740" s="6">
        <v>19600</v>
      </c>
      <c r="R740" s="6">
        <v>19444.490000000002</v>
      </c>
      <c r="S740">
        <v>1</v>
      </c>
      <c r="T740">
        <f t="shared" si="22"/>
        <v>3</v>
      </c>
      <c r="U740">
        <f>IF(COUNTIFS($B$2:B740,B740,$F$2:F740,F740)=1,1,0)</f>
        <v>0</v>
      </c>
      <c r="V740" s="13">
        <f t="shared" si="23"/>
        <v>155.5099999999984</v>
      </c>
    </row>
    <row r="741" spans="1:22">
      <c r="A741" t="s">
        <v>1088</v>
      </c>
      <c r="B741" t="s">
        <v>129</v>
      </c>
      <c r="C741" t="s">
        <v>130</v>
      </c>
      <c r="D741" t="s">
        <v>73</v>
      </c>
      <c r="E741" t="s">
        <v>74</v>
      </c>
      <c r="F741" t="s">
        <v>38</v>
      </c>
      <c r="G741" t="s">
        <v>90</v>
      </c>
      <c r="H741" t="s">
        <v>1063</v>
      </c>
      <c r="I741" t="s">
        <v>69</v>
      </c>
      <c r="J741" t="s">
        <v>29</v>
      </c>
      <c r="K741" t="s">
        <v>31</v>
      </c>
      <c r="L741" s="4">
        <v>45841</v>
      </c>
      <c r="M741" s="4">
        <v>45854</v>
      </c>
      <c r="N741" s="4"/>
      <c r="O741" t="s">
        <v>109</v>
      </c>
      <c r="P741" s="5">
        <v>0.2</v>
      </c>
      <c r="Q741" s="6">
        <v>10700</v>
      </c>
      <c r="R741" s="6">
        <v>9933.94</v>
      </c>
      <c r="S741">
        <v>5</v>
      </c>
      <c r="T741" t="str">
        <f t="shared" si="22"/>
        <v/>
      </c>
      <c r="U741">
        <f>IF(COUNTIFS($B$2:B741,B741,$F$2:F741,F741)=1,1,0)</f>
        <v>0</v>
      </c>
      <c r="V741" s="13">
        <f t="shared" si="23"/>
        <v>766.05999999999949</v>
      </c>
    </row>
    <row r="742" spans="1:22">
      <c r="A742" t="s">
        <v>1089</v>
      </c>
      <c r="B742" t="s">
        <v>132</v>
      </c>
      <c r="C742" t="s">
        <v>133</v>
      </c>
      <c r="D742" t="s">
        <v>82</v>
      </c>
      <c r="E742" t="s">
        <v>83</v>
      </c>
      <c r="F742" t="s">
        <v>48</v>
      </c>
      <c r="G742" t="s">
        <v>95</v>
      </c>
      <c r="H742" t="s">
        <v>1065</v>
      </c>
      <c r="I742" t="s">
        <v>29</v>
      </c>
      <c r="J742" t="s">
        <v>29</v>
      </c>
      <c r="K742" t="s">
        <v>31</v>
      </c>
      <c r="L742" s="4">
        <v>45786</v>
      </c>
      <c r="M742" s="4">
        <v>45789</v>
      </c>
      <c r="N742" s="4"/>
      <c r="O742" t="s">
        <v>52</v>
      </c>
      <c r="P742" s="5">
        <v>0.25</v>
      </c>
      <c r="Q742" s="6">
        <v>9000</v>
      </c>
      <c r="R742" s="6">
        <v>10506.04</v>
      </c>
      <c r="S742">
        <v>0</v>
      </c>
      <c r="T742" t="str">
        <f t="shared" si="22"/>
        <v/>
      </c>
      <c r="U742">
        <f>IF(COUNTIFS($B$2:B742,B742,$F$2:F742,F742)=1,1,0)</f>
        <v>0</v>
      </c>
      <c r="V742" s="13">
        <f t="shared" si="23"/>
        <v>-1506.0400000000009</v>
      </c>
    </row>
    <row r="743" spans="1:22">
      <c r="A743" t="s">
        <v>1090</v>
      </c>
      <c r="B743" t="s">
        <v>135</v>
      </c>
      <c r="C743" t="s">
        <v>136</v>
      </c>
      <c r="D743" t="s">
        <v>24</v>
      </c>
      <c r="E743" t="s">
        <v>25</v>
      </c>
      <c r="F743" t="s">
        <v>58</v>
      </c>
      <c r="G743" t="s">
        <v>27</v>
      </c>
      <c r="H743" t="s">
        <v>1067</v>
      </c>
      <c r="I743" t="s">
        <v>69</v>
      </c>
      <c r="J743" t="s">
        <v>69</v>
      </c>
      <c r="K743" t="s">
        <v>51</v>
      </c>
      <c r="L743" s="4">
        <v>46045</v>
      </c>
      <c r="M743" s="4">
        <v>46057</v>
      </c>
      <c r="N743" s="4">
        <v>46061</v>
      </c>
      <c r="O743" t="s">
        <v>32</v>
      </c>
      <c r="P743" s="5">
        <v>1</v>
      </c>
      <c r="Q743" s="6">
        <v>43900</v>
      </c>
      <c r="R743" s="6">
        <v>42340.11</v>
      </c>
      <c r="S743">
        <v>4</v>
      </c>
      <c r="T743">
        <f t="shared" si="22"/>
        <v>4</v>
      </c>
      <c r="U743">
        <f>IF(COUNTIFS($B$2:B743,B743,$F$2:F743,F743)=1,1,0)</f>
        <v>0</v>
      </c>
      <c r="V743" s="13">
        <f t="shared" si="23"/>
        <v>1559.8899999999994</v>
      </c>
    </row>
    <row r="744" spans="1:22">
      <c r="A744" t="s">
        <v>1091</v>
      </c>
      <c r="B744" t="s">
        <v>138</v>
      </c>
      <c r="C744" t="s">
        <v>139</v>
      </c>
      <c r="D744" t="s">
        <v>36</v>
      </c>
      <c r="E744" t="s">
        <v>37</v>
      </c>
      <c r="F744" t="s">
        <v>66</v>
      </c>
      <c r="G744" t="s">
        <v>39</v>
      </c>
      <c r="H744" t="s">
        <v>1069</v>
      </c>
      <c r="I744" t="s">
        <v>69</v>
      </c>
      <c r="J744" t="s">
        <v>30</v>
      </c>
      <c r="K744" t="s">
        <v>31</v>
      </c>
      <c r="L744" s="4">
        <v>46003</v>
      </c>
      <c r="M744" s="4">
        <v>46010</v>
      </c>
      <c r="N744" s="4"/>
      <c r="O744" t="s">
        <v>42</v>
      </c>
      <c r="P744" s="5">
        <v>0</v>
      </c>
      <c r="Q744" s="6">
        <v>6400</v>
      </c>
      <c r="R744" s="6">
        <v>0</v>
      </c>
      <c r="S744">
        <v>2</v>
      </c>
      <c r="T744" t="str">
        <f t="shared" si="22"/>
        <v/>
      </c>
      <c r="U744">
        <f>IF(COUNTIFS($B$2:B744,B744,$F$2:F744,F744)=1,1,0)</f>
        <v>0</v>
      </c>
      <c r="V744" s="13">
        <f t="shared" si="23"/>
        <v>6400</v>
      </c>
    </row>
    <row r="745" spans="1:22">
      <c r="A745" t="s">
        <v>1092</v>
      </c>
      <c r="B745" t="s">
        <v>141</v>
      </c>
      <c r="C745" t="s">
        <v>142</v>
      </c>
      <c r="D745" t="s">
        <v>46</v>
      </c>
      <c r="E745" t="s">
        <v>47</v>
      </c>
      <c r="F745" t="s">
        <v>75</v>
      </c>
      <c r="G745" t="s">
        <v>49</v>
      </c>
      <c r="H745" t="s">
        <v>1071</v>
      </c>
      <c r="I745" t="s">
        <v>69</v>
      </c>
      <c r="J745" t="s">
        <v>30</v>
      </c>
      <c r="K745" t="s">
        <v>51</v>
      </c>
      <c r="L745" s="4">
        <v>45737</v>
      </c>
      <c r="M745" s="4">
        <v>45753</v>
      </c>
      <c r="N745" s="4">
        <v>45760</v>
      </c>
      <c r="O745" t="s">
        <v>32</v>
      </c>
      <c r="P745" s="5">
        <v>1</v>
      </c>
      <c r="Q745" s="6">
        <v>5200</v>
      </c>
      <c r="R745" s="6">
        <v>4750.72</v>
      </c>
      <c r="S745">
        <v>1</v>
      </c>
      <c r="T745">
        <f t="shared" si="22"/>
        <v>7</v>
      </c>
      <c r="U745">
        <f>IF(COUNTIFS($B$2:B745,B745,$F$2:F745,F745)=1,1,0)</f>
        <v>0</v>
      </c>
      <c r="V745" s="13">
        <f t="shared" si="23"/>
        <v>449.27999999999975</v>
      </c>
    </row>
    <row r="746" spans="1:22">
      <c r="A746" t="s">
        <v>1093</v>
      </c>
      <c r="B746" t="s">
        <v>145</v>
      </c>
      <c r="C746" t="s">
        <v>146</v>
      </c>
      <c r="D746" t="s">
        <v>56</v>
      </c>
      <c r="E746" t="s">
        <v>57</v>
      </c>
      <c r="F746" t="s">
        <v>26</v>
      </c>
      <c r="G746" t="s">
        <v>59</v>
      </c>
      <c r="H746" t="s">
        <v>1073</v>
      </c>
      <c r="I746" t="s">
        <v>29</v>
      </c>
      <c r="J746" t="s">
        <v>30</v>
      </c>
      <c r="K746" t="s">
        <v>178</v>
      </c>
      <c r="L746" s="4">
        <v>46063</v>
      </c>
      <c r="M746" s="4">
        <v>46081</v>
      </c>
      <c r="N746" s="4">
        <v>46079</v>
      </c>
      <c r="O746" t="s">
        <v>32</v>
      </c>
      <c r="P746" s="5">
        <v>1</v>
      </c>
      <c r="Q746" s="6">
        <v>38900</v>
      </c>
      <c r="R746" s="6">
        <v>37210.370000000003</v>
      </c>
      <c r="S746">
        <v>1</v>
      </c>
      <c r="T746">
        <f t="shared" si="22"/>
        <v>0</v>
      </c>
      <c r="U746">
        <f>IF(COUNTIFS($B$2:B746,B746,$F$2:F746,F746)=1,1,0)</f>
        <v>0</v>
      </c>
      <c r="V746" s="13">
        <f t="shared" si="23"/>
        <v>1689.6299999999974</v>
      </c>
    </row>
    <row r="747" spans="1:22">
      <c r="A747" t="s">
        <v>1094</v>
      </c>
      <c r="B747" t="s">
        <v>148</v>
      </c>
      <c r="C747" t="s">
        <v>149</v>
      </c>
      <c r="D747" t="s">
        <v>64</v>
      </c>
      <c r="E747" t="s">
        <v>65</v>
      </c>
      <c r="F747" t="s">
        <v>38</v>
      </c>
      <c r="G747" t="s">
        <v>67</v>
      </c>
      <c r="H747" t="s">
        <v>1075</v>
      </c>
      <c r="I747" t="s">
        <v>29</v>
      </c>
      <c r="J747" t="s">
        <v>29</v>
      </c>
      <c r="K747" t="s">
        <v>31</v>
      </c>
      <c r="L747" s="4">
        <v>45766</v>
      </c>
      <c r="M747" s="4">
        <v>45772</v>
      </c>
      <c r="N747" s="4">
        <v>45770</v>
      </c>
      <c r="O747" t="s">
        <v>32</v>
      </c>
      <c r="P747" s="5">
        <v>1</v>
      </c>
      <c r="Q747" s="6">
        <v>38400</v>
      </c>
      <c r="R747" s="6">
        <v>27706.39</v>
      </c>
      <c r="S747">
        <v>2</v>
      </c>
      <c r="T747">
        <f t="shared" si="22"/>
        <v>0</v>
      </c>
      <c r="U747">
        <f>IF(COUNTIFS($B$2:B747,B747,$F$2:F747,F747)=1,1,0)</f>
        <v>0</v>
      </c>
      <c r="V747" s="13">
        <f t="shared" si="23"/>
        <v>10693.61</v>
      </c>
    </row>
    <row r="748" spans="1:22">
      <c r="A748" t="s">
        <v>1095</v>
      </c>
      <c r="B748" t="s">
        <v>151</v>
      </c>
      <c r="C748" t="s">
        <v>152</v>
      </c>
      <c r="D748" t="s">
        <v>73</v>
      </c>
      <c r="E748" t="s">
        <v>74</v>
      </c>
      <c r="F748" t="s">
        <v>48</v>
      </c>
      <c r="G748" t="s">
        <v>76</v>
      </c>
      <c r="H748" t="s">
        <v>1077</v>
      </c>
      <c r="I748" t="s">
        <v>29</v>
      </c>
      <c r="J748" t="s">
        <v>30</v>
      </c>
      <c r="K748" t="s">
        <v>143</v>
      </c>
      <c r="L748" s="4">
        <v>46153</v>
      </c>
      <c r="M748" s="4">
        <v>46172</v>
      </c>
      <c r="N748" s="4">
        <v>46165</v>
      </c>
      <c r="O748" t="s">
        <v>32</v>
      </c>
      <c r="P748" s="5">
        <v>1</v>
      </c>
      <c r="Q748" s="6">
        <v>28100</v>
      </c>
      <c r="R748" s="6">
        <v>26194.67</v>
      </c>
      <c r="S748">
        <v>0</v>
      </c>
      <c r="T748">
        <f t="shared" si="22"/>
        <v>0</v>
      </c>
      <c r="U748">
        <f>IF(COUNTIFS($B$2:B748,B748,$F$2:F748,F748)=1,1,0)</f>
        <v>0</v>
      </c>
      <c r="V748" s="13">
        <f t="shared" si="23"/>
        <v>1905.3300000000017</v>
      </c>
    </row>
    <row r="749" spans="1:22">
      <c r="A749" t="s">
        <v>1096</v>
      </c>
      <c r="B749" t="s">
        <v>154</v>
      </c>
      <c r="C749" t="s">
        <v>155</v>
      </c>
      <c r="D749" t="s">
        <v>82</v>
      </c>
      <c r="E749" t="s">
        <v>83</v>
      </c>
      <c r="F749" t="s">
        <v>58</v>
      </c>
      <c r="G749" t="s">
        <v>84</v>
      </c>
      <c r="H749" t="s">
        <v>1061</v>
      </c>
      <c r="I749" t="s">
        <v>29</v>
      </c>
      <c r="J749" t="s">
        <v>29</v>
      </c>
      <c r="K749" t="s">
        <v>143</v>
      </c>
      <c r="L749" s="4">
        <v>46103</v>
      </c>
      <c r="M749" s="4">
        <v>46124</v>
      </c>
      <c r="N749" s="4"/>
      <c r="O749" t="s">
        <v>52</v>
      </c>
      <c r="P749" s="5">
        <v>0.25</v>
      </c>
      <c r="Q749" s="6">
        <v>13200</v>
      </c>
      <c r="R749" s="6">
        <v>11647.76</v>
      </c>
      <c r="S749">
        <v>0</v>
      </c>
      <c r="T749" t="str">
        <f t="shared" si="22"/>
        <v/>
      </c>
      <c r="U749">
        <f>IF(COUNTIFS($B$2:B749,B749,$F$2:F749,F749)=1,1,0)</f>
        <v>0</v>
      </c>
      <c r="V749" s="13">
        <f t="shared" si="23"/>
        <v>1552.2399999999998</v>
      </c>
    </row>
    <row r="750" spans="1:22">
      <c r="A750" t="s">
        <v>1097</v>
      </c>
      <c r="B750" t="s">
        <v>157</v>
      </c>
      <c r="C750" t="s">
        <v>158</v>
      </c>
      <c r="D750" t="s">
        <v>24</v>
      </c>
      <c r="E750" t="s">
        <v>25</v>
      </c>
      <c r="F750" t="s">
        <v>66</v>
      </c>
      <c r="G750" t="s">
        <v>90</v>
      </c>
      <c r="H750" t="s">
        <v>1063</v>
      </c>
      <c r="I750" t="s">
        <v>30</v>
      </c>
      <c r="J750" t="s">
        <v>29</v>
      </c>
      <c r="K750" t="s">
        <v>51</v>
      </c>
      <c r="L750" s="4">
        <v>46136</v>
      </c>
      <c r="M750" s="4">
        <v>46161</v>
      </c>
      <c r="N750" s="4"/>
      <c r="O750" t="s">
        <v>52</v>
      </c>
      <c r="P750" s="5">
        <v>0.4</v>
      </c>
      <c r="Q750" s="6">
        <v>14000</v>
      </c>
      <c r="R750" s="6">
        <v>14782.2</v>
      </c>
      <c r="S750">
        <v>3</v>
      </c>
      <c r="T750" t="str">
        <f t="shared" si="22"/>
        <v/>
      </c>
      <c r="U750">
        <f>IF(COUNTIFS($B$2:B750,B750,$F$2:F750,F750)=1,1,0)</f>
        <v>0</v>
      </c>
      <c r="V750" s="13">
        <f t="shared" si="23"/>
        <v>-782.20000000000073</v>
      </c>
    </row>
    <row r="751" spans="1:22">
      <c r="A751" t="s">
        <v>1098</v>
      </c>
      <c r="B751" t="s">
        <v>160</v>
      </c>
      <c r="C751" t="s">
        <v>161</v>
      </c>
      <c r="D751" t="s">
        <v>36</v>
      </c>
      <c r="E751" t="s">
        <v>37</v>
      </c>
      <c r="F751" t="s">
        <v>75</v>
      </c>
      <c r="G751" t="s">
        <v>27</v>
      </c>
      <c r="H751" t="s">
        <v>1067</v>
      </c>
      <c r="I751" t="s">
        <v>29</v>
      </c>
      <c r="J751" t="s">
        <v>30</v>
      </c>
      <c r="K751" t="s">
        <v>178</v>
      </c>
      <c r="L751" s="4">
        <v>46028</v>
      </c>
      <c r="M751" s="4">
        <v>46050</v>
      </c>
      <c r="N751" s="4">
        <v>46050</v>
      </c>
      <c r="O751" t="s">
        <v>32</v>
      </c>
      <c r="P751" s="5">
        <v>1</v>
      </c>
      <c r="Q751" s="6">
        <v>39900</v>
      </c>
      <c r="R751" s="6">
        <v>35881.08</v>
      </c>
      <c r="S751">
        <v>1</v>
      </c>
      <c r="T751">
        <f t="shared" si="22"/>
        <v>0</v>
      </c>
      <c r="U751">
        <f>IF(COUNTIFS($B$2:B751,B751,$F$2:F751,F751)=1,1,0)</f>
        <v>0</v>
      </c>
      <c r="V751" s="13">
        <f t="shared" si="23"/>
        <v>4018.9199999999983</v>
      </c>
    </row>
  </sheetData>
  <conditionalFormatting sqref="I2:I751">
    <cfRule type="expression" dxfId="2" priority="3">
      <formula>I2="Critical"</formula>
    </cfRule>
  </conditionalFormatting>
  <conditionalFormatting sqref="J2:J751">
    <cfRule type="expression" dxfId="1" priority="2">
      <formula>J2="High"</formula>
    </cfRule>
  </conditionalFormatting>
  <conditionalFormatting sqref="O2:O751">
    <cfRule type="expression" dxfId="0" priority="1">
      <formula>O2="On Hold"</formula>
    </cfRule>
  </conditionalFormatting>
  <conditionalFormatting sqref="P2:P751">
    <cfRule type="dataBar" priority="4">
      <dataBar>
        <cfvo type="min"/>
        <cfvo type="max"/>
        <color rgb="FF156082"/>
      </dataBar>
    </cfRule>
    <cfRule type="dataBar" priority="5">
      <dataBar>
        <cfvo type="min"/>
        <cfvo type="max"/>
        <color rgb="FF156082"/>
      </dataBar>
      <extLst>
        <ext xmlns:x14="http://schemas.microsoft.com/office/spreadsheetml/2009/9/main" uri="{B025F937-C7B1-47D3-B67F-A62EFF666E3E}">
          <x14:id>{7FD6DB41-5963-DAEF-535D-5716B279003F}</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7FD6DB41-5963-DAEF-535D-5716B279003F}">
            <x14:dataBar>
              <x14:cfvo type="min"/>
              <x14:cfvo type="max"/>
              <x14:negativeFillColor auto="1"/>
              <x14:axisColor auto="1"/>
            </x14:dataBar>
          </x14:cfRule>
          <xm:sqref>P2:P751</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F4399-5920-E748-9216-CDBD4736808A}">
  <dimension ref="A3:G11"/>
  <sheetViews>
    <sheetView workbookViewId="0">
      <selection activeCell="H48" sqref="H48"/>
    </sheetView>
  </sheetViews>
  <sheetFormatPr baseColWidth="10" defaultRowHeight="14"/>
  <cols>
    <col min="1" max="1" width="16" bestFit="1" customWidth="1"/>
    <col min="2" max="2" width="17" bestFit="1" customWidth="1"/>
    <col min="3" max="4" width="11.1640625" bestFit="1" customWidth="1"/>
    <col min="5" max="5" width="8.5" bestFit="1" customWidth="1"/>
    <col min="6" max="6" width="15.5" bestFit="1" customWidth="1"/>
    <col min="7" max="7" width="11.6640625" bestFit="1" customWidth="1"/>
  </cols>
  <sheetData>
    <row r="3" spans="1:7">
      <c r="A3" s="9" t="s">
        <v>1102</v>
      </c>
      <c r="B3" s="9" t="s">
        <v>1101</v>
      </c>
    </row>
    <row r="4" spans="1:7">
      <c r="A4" s="9" t="s">
        <v>1099</v>
      </c>
      <c r="B4" t="s">
        <v>32</v>
      </c>
      <c r="C4" t="s">
        <v>52</v>
      </c>
      <c r="D4" t="s">
        <v>42</v>
      </c>
      <c r="E4" t="s">
        <v>109</v>
      </c>
      <c r="F4" t="s">
        <v>1103</v>
      </c>
      <c r="G4" t="s">
        <v>1100</v>
      </c>
    </row>
    <row r="5" spans="1:7">
      <c r="A5" s="10" t="s">
        <v>26</v>
      </c>
      <c r="B5" s="12">
        <v>82</v>
      </c>
      <c r="C5" s="12">
        <v>23</v>
      </c>
      <c r="D5" s="12">
        <v>14</v>
      </c>
      <c r="E5" s="12">
        <v>6</v>
      </c>
      <c r="F5" s="12">
        <v>29</v>
      </c>
      <c r="G5" s="12">
        <v>154</v>
      </c>
    </row>
    <row r="6" spans="1:7">
      <c r="A6" s="10" t="s">
        <v>66</v>
      </c>
      <c r="B6" s="12">
        <v>69</v>
      </c>
      <c r="C6" s="12">
        <v>33</v>
      </c>
      <c r="D6" s="12">
        <v>19</v>
      </c>
      <c r="E6" s="12">
        <v>4</v>
      </c>
      <c r="F6" s="12">
        <v>37</v>
      </c>
      <c r="G6" s="12">
        <v>162</v>
      </c>
    </row>
    <row r="7" spans="1:7">
      <c r="A7" s="10" t="s">
        <v>38</v>
      </c>
      <c r="B7" s="12">
        <v>89</v>
      </c>
      <c r="C7" s="12">
        <v>19</v>
      </c>
      <c r="D7" s="12">
        <v>12</v>
      </c>
      <c r="E7" s="12">
        <v>5</v>
      </c>
      <c r="F7" s="12">
        <v>24</v>
      </c>
      <c r="G7" s="12">
        <v>149</v>
      </c>
    </row>
    <row r="8" spans="1:7">
      <c r="A8" s="10" t="s">
        <v>48</v>
      </c>
      <c r="B8" s="12">
        <v>68</v>
      </c>
      <c r="C8" s="12">
        <v>35</v>
      </c>
      <c r="D8" s="12">
        <v>21</v>
      </c>
      <c r="E8" s="12">
        <v>1</v>
      </c>
      <c r="F8" s="12">
        <v>36</v>
      </c>
      <c r="G8" s="12">
        <v>161</v>
      </c>
    </row>
    <row r="9" spans="1:7">
      <c r="A9" s="10" t="s">
        <v>75</v>
      </c>
      <c r="B9" s="12">
        <v>81</v>
      </c>
      <c r="C9" s="12">
        <v>24</v>
      </c>
      <c r="D9" s="12">
        <v>15</v>
      </c>
      <c r="E9" s="12">
        <v>5</v>
      </c>
      <c r="F9" s="12">
        <v>29</v>
      </c>
      <c r="G9" s="12">
        <v>154</v>
      </c>
    </row>
    <row r="10" spans="1:7">
      <c r="A10" s="10" t="s">
        <v>58</v>
      </c>
      <c r="B10" s="12">
        <v>67</v>
      </c>
      <c r="C10" s="12">
        <v>32</v>
      </c>
      <c r="D10" s="12">
        <v>19</v>
      </c>
      <c r="E10" s="12">
        <v>7</v>
      </c>
      <c r="F10" s="12">
        <v>39</v>
      </c>
      <c r="G10" s="12">
        <v>164</v>
      </c>
    </row>
    <row r="11" spans="1:7">
      <c r="A11" s="10" t="s">
        <v>1100</v>
      </c>
      <c r="B11" s="12">
        <v>456</v>
      </c>
      <c r="C11" s="12">
        <v>166</v>
      </c>
      <c r="D11" s="12">
        <v>100</v>
      </c>
      <c r="E11" s="12">
        <v>28</v>
      </c>
      <c r="F11" s="12">
        <v>194</v>
      </c>
      <c r="G11" s="12">
        <v>944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FCC22-DF80-A146-9239-AB0388DE9B0D}">
  <dimension ref="A3:B64"/>
  <sheetViews>
    <sheetView zoomScale="75" workbookViewId="0">
      <selection activeCell="J58" sqref="J58"/>
    </sheetView>
  </sheetViews>
  <sheetFormatPr baseColWidth="10" defaultRowHeight="14"/>
  <cols>
    <col min="1" max="1" width="44.1640625" bestFit="1" customWidth="1"/>
    <col min="2" max="2" width="20" bestFit="1" customWidth="1"/>
    <col min="3" max="3" width="13.5" bestFit="1" customWidth="1"/>
    <col min="4" max="4" width="11" bestFit="1" customWidth="1"/>
    <col min="5" max="5" width="12.6640625" bestFit="1" customWidth="1"/>
    <col min="6" max="6" width="10.6640625" bestFit="1" customWidth="1"/>
    <col min="7" max="8" width="11.6640625" bestFit="1" customWidth="1"/>
  </cols>
  <sheetData>
    <row r="3" spans="1:2">
      <c r="A3" s="9" t="s">
        <v>1099</v>
      </c>
      <c r="B3" t="s">
        <v>1105</v>
      </c>
    </row>
    <row r="4" spans="1:2">
      <c r="A4" s="10" t="s">
        <v>63</v>
      </c>
      <c r="B4" s="12">
        <v>115</v>
      </c>
    </row>
    <row r="5" spans="1:2">
      <c r="A5" s="11" t="s">
        <v>66</v>
      </c>
      <c r="B5" s="12">
        <v>115</v>
      </c>
    </row>
    <row r="6" spans="1:2">
      <c r="A6" s="10" t="s">
        <v>35</v>
      </c>
      <c r="B6" s="12">
        <v>93</v>
      </c>
    </row>
    <row r="7" spans="1:2">
      <c r="A7" s="11" t="s">
        <v>38</v>
      </c>
      <c r="B7" s="12">
        <v>93</v>
      </c>
    </row>
    <row r="8" spans="1:2">
      <c r="A8" s="10" t="s">
        <v>161</v>
      </c>
      <c r="B8" s="12">
        <v>92</v>
      </c>
    </row>
    <row r="9" spans="1:2">
      <c r="A9" s="11" t="s">
        <v>75</v>
      </c>
      <c r="B9" s="12">
        <v>92</v>
      </c>
    </row>
    <row r="10" spans="1:2">
      <c r="A10" s="10" t="s">
        <v>45</v>
      </c>
      <c r="B10" s="12">
        <v>82</v>
      </c>
    </row>
    <row r="11" spans="1:2">
      <c r="A11" s="11" t="s">
        <v>48</v>
      </c>
      <c r="B11" s="12">
        <v>82</v>
      </c>
    </row>
    <row r="12" spans="1:2">
      <c r="A12" s="10" t="s">
        <v>89</v>
      </c>
      <c r="B12" s="12">
        <v>65</v>
      </c>
    </row>
    <row r="13" spans="1:2">
      <c r="A13" s="11" t="s">
        <v>38</v>
      </c>
      <c r="B13" s="12">
        <v>65</v>
      </c>
    </row>
    <row r="14" spans="1:2">
      <c r="A14" s="10" t="s">
        <v>149</v>
      </c>
      <c r="B14" s="12">
        <v>64</v>
      </c>
    </row>
    <row r="15" spans="1:2">
      <c r="A15" s="11" t="s">
        <v>38</v>
      </c>
      <c r="B15" s="12">
        <v>64</v>
      </c>
    </row>
    <row r="16" spans="1:2">
      <c r="A16" s="10" t="s">
        <v>72</v>
      </c>
      <c r="B16" s="12">
        <v>63</v>
      </c>
    </row>
    <row r="17" spans="1:2">
      <c r="A17" s="11" t="s">
        <v>75</v>
      </c>
      <c r="B17" s="12">
        <v>63</v>
      </c>
    </row>
    <row r="18" spans="1:2">
      <c r="A18" s="10" t="s">
        <v>94</v>
      </c>
      <c r="B18" s="12">
        <v>62</v>
      </c>
    </row>
    <row r="19" spans="1:2">
      <c r="A19" s="11" t="s">
        <v>48</v>
      </c>
      <c r="B19" s="12">
        <v>62</v>
      </c>
    </row>
    <row r="20" spans="1:2">
      <c r="A20" s="10" t="s">
        <v>115</v>
      </c>
      <c r="B20" s="12">
        <v>61</v>
      </c>
    </row>
    <row r="21" spans="1:2">
      <c r="A21" s="11" t="s">
        <v>48</v>
      </c>
      <c r="B21" s="12">
        <v>61</v>
      </c>
    </row>
    <row r="22" spans="1:2">
      <c r="A22" s="10" t="s">
        <v>121</v>
      </c>
      <c r="B22" s="12">
        <v>61</v>
      </c>
    </row>
    <row r="23" spans="1:2">
      <c r="A23" s="11" t="s">
        <v>66</v>
      </c>
      <c r="B23" s="12">
        <v>61</v>
      </c>
    </row>
    <row r="24" spans="1:2">
      <c r="A24" s="10" t="s">
        <v>155</v>
      </c>
      <c r="B24" s="12">
        <v>60</v>
      </c>
    </row>
    <row r="25" spans="1:2">
      <c r="A25" s="11" t="s">
        <v>58</v>
      </c>
      <c r="B25" s="12">
        <v>60</v>
      </c>
    </row>
    <row r="26" spans="1:2">
      <c r="A26" s="10" t="s">
        <v>158</v>
      </c>
      <c r="B26" s="12">
        <v>58</v>
      </c>
    </row>
    <row r="27" spans="1:2">
      <c r="A27" s="11" t="s">
        <v>66</v>
      </c>
      <c r="B27" s="12">
        <v>58</v>
      </c>
    </row>
    <row r="28" spans="1:2">
      <c r="A28" s="10" t="s">
        <v>55</v>
      </c>
      <c r="B28" s="12">
        <v>55</v>
      </c>
    </row>
    <row r="29" spans="1:2">
      <c r="A29" s="11" t="s">
        <v>58</v>
      </c>
      <c r="B29" s="12">
        <v>55</v>
      </c>
    </row>
    <row r="30" spans="1:2">
      <c r="A30" s="10" t="s">
        <v>139</v>
      </c>
      <c r="B30" s="12">
        <v>51</v>
      </c>
    </row>
    <row r="31" spans="1:2">
      <c r="A31" s="11" t="s">
        <v>66</v>
      </c>
      <c r="B31" s="12">
        <v>51</v>
      </c>
    </row>
    <row r="32" spans="1:2">
      <c r="A32" s="10" t="s">
        <v>81</v>
      </c>
      <c r="B32" s="12">
        <v>51</v>
      </c>
    </row>
    <row r="33" spans="1:2">
      <c r="A33" s="11" t="s">
        <v>26</v>
      </c>
      <c r="B33" s="12">
        <v>51</v>
      </c>
    </row>
    <row r="34" spans="1:2">
      <c r="A34" s="10" t="s">
        <v>142</v>
      </c>
      <c r="B34" s="12">
        <v>48</v>
      </c>
    </row>
    <row r="35" spans="1:2">
      <c r="A35" s="11" t="s">
        <v>75</v>
      </c>
      <c r="B35" s="12">
        <v>48</v>
      </c>
    </row>
    <row r="36" spans="1:2">
      <c r="A36" s="10" t="s">
        <v>105</v>
      </c>
      <c r="B36" s="12">
        <v>46</v>
      </c>
    </row>
    <row r="37" spans="1:2">
      <c r="A37" s="11" t="s">
        <v>75</v>
      </c>
      <c r="B37" s="12">
        <v>46</v>
      </c>
    </row>
    <row r="38" spans="1:2">
      <c r="A38" s="10" t="s">
        <v>112</v>
      </c>
      <c r="B38" s="12">
        <v>46</v>
      </c>
    </row>
    <row r="39" spans="1:2">
      <c r="A39" s="11" t="s">
        <v>38</v>
      </c>
      <c r="B39" s="12">
        <v>46</v>
      </c>
    </row>
    <row r="40" spans="1:2">
      <c r="A40" s="10" t="s">
        <v>99</v>
      </c>
      <c r="B40" s="12">
        <v>46</v>
      </c>
    </row>
    <row r="41" spans="1:2">
      <c r="A41" s="11" t="s">
        <v>58</v>
      </c>
      <c r="B41" s="12">
        <v>46</v>
      </c>
    </row>
    <row r="42" spans="1:2">
      <c r="A42" s="10" t="s">
        <v>152</v>
      </c>
      <c r="B42" s="12">
        <v>45</v>
      </c>
    </row>
    <row r="43" spans="1:2">
      <c r="A43" s="11" t="s">
        <v>48</v>
      </c>
      <c r="B43" s="12">
        <v>45</v>
      </c>
    </row>
    <row r="44" spans="1:2">
      <c r="A44" s="10" t="s">
        <v>146</v>
      </c>
      <c r="B44" s="12">
        <v>40</v>
      </c>
    </row>
    <row r="45" spans="1:2">
      <c r="A45" s="11" t="s">
        <v>26</v>
      </c>
      <c r="B45" s="12">
        <v>40</v>
      </c>
    </row>
    <row r="46" spans="1:2">
      <c r="A46" s="10" t="s">
        <v>130</v>
      </c>
      <c r="B46" s="12">
        <v>35</v>
      </c>
    </row>
    <row r="47" spans="1:2">
      <c r="A47" s="11" t="s">
        <v>38</v>
      </c>
      <c r="B47" s="12">
        <v>35</v>
      </c>
    </row>
    <row r="48" spans="1:2">
      <c r="A48" s="10" t="s">
        <v>133</v>
      </c>
      <c r="B48" s="12">
        <v>32</v>
      </c>
    </row>
    <row r="49" spans="1:2">
      <c r="A49" s="11" t="s">
        <v>48</v>
      </c>
      <c r="B49" s="12">
        <v>32</v>
      </c>
    </row>
    <row r="50" spans="1:2">
      <c r="A50" s="10" t="s">
        <v>23</v>
      </c>
      <c r="B50" s="12">
        <v>31</v>
      </c>
    </row>
    <row r="51" spans="1:2">
      <c r="A51" s="11" t="s">
        <v>26</v>
      </c>
      <c r="B51" s="12">
        <v>31</v>
      </c>
    </row>
    <row r="52" spans="1:2">
      <c r="A52" s="10" t="s">
        <v>127</v>
      </c>
      <c r="B52" s="12">
        <v>30</v>
      </c>
    </row>
    <row r="53" spans="1:2">
      <c r="A53" s="11" t="s">
        <v>26</v>
      </c>
      <c r="B53" s="12">
        <v>30</v>
      </c>
    </row>
    <row r="54" spans="1:2">
      <c r="A54" s="10" t="s">
        <v>136</v>
      </c>
      <c r="B54" s="12">
        <v>24</v>
      </c>
    </row>
    <row r="55" spans="1:2">
      <c r="A55" s="11" t="s">
        <v>58</v>
      </c>
      <c r="B55" s="12">
        <v>24</v>
      </c>
    </row>
    <row r="56" spans="1:2">
      <c r="A56" s="10" t="s">
        <v>124</v>
      </c>
      <c r="B56" s="12">
        <v>23</v>
      </c>
    </row>
    <row r="57" spans="1:2">
      <c r="A57" s="11" t="s">
        <v>75</v>
      </c>
      <c r="B57" s="12">
        <v>23</v>
      </c>
    </row>
    <row r="58" spans="1:2">
      <c r="A58" s="10" t="s">
        <v>118</v>
      </c>
      <c r="B58" s="12">
        <v>20</v>
      </c>
    </row>
    <row r="59" spans="1:2">
      <c r="A59" s="11" t="s">
        <v>58</v>
      </c>
      <c r="B59" s="12">
        <v>20</v>
      </c>
    </row>
    <row r="60" spans="1:2">
      <c r="A60" s="10" t="s">
        <v>108</v>
      </c>
      <c r="B60" s="12">
        <v>15</v>
      </c>
    </row>
    <row r="61" spans="1:2">
      <c r="A61" s="11" t="s">
        <v>26</v>
      </c>
      <c r="B61" s="12">
        <v>15</v>
      </c>
    </row>
    <row r="62" spans="1:2">
      <c r="A62" s="10" t="s">
        <v>102</v>
      </c>
      <c r="B62" s="12">
        <v>11</v>
      </c>
    </row>
    <row r="63" spans="1:2">
      <c r="A63" s="11" t="s">
        <v>66</v>
      </c>
      <c r="B63" s="12">
        <v>11</v>
      </c>
    </row>
    <row r="64" spans="1:2">
      <c r="A64" s="10" t="s">
        <v>1100</v>
      </c>
      <c r="B64" s="12">
        <v>1525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BD958-3CE8-924F-A69C-838092543D89}">
  <dimension ref="A3:D10"/>
  <sheetViews>
    <sheetView topLeftCell="A3" workbookViewId="0">
      <selection activeCell="E51" sqref="E51"/>
    </sheetView>
  </sheetViews>
  <sheetFormatPr baseColWidth="10" defaultRowHeight="14"/>
  <cols>
    <col min="1" max="1" width="14" bestFit="1" customWidth="1"/>
    <col min="2" max="2" width="20" bestFit="1" customWidth="1"/>
    <col min="3" max="3" width="16" bestFit="1" customWidth="1"/>
    <col min="4" max="5" width="25.6640625" bestFit="1" customWidth="1"/>
  </cols>
  <sheetData>
    <row r="3" spans="1:4">
      <c r="A3" s="9" t="s">
        <v>1099</v>
      </c>
      <c r="B3" t="s">
        <v>1105</v>
      </c>
      <c r="C3" t="s">
        <v>1102</v>
      </c>
      <c r="D3" t="s">
        <v>1107</v>
      </c>
    </row>
    <row r="4" spans="1:4">
      <c r="A4" s="10" t="s">
        <v>26</v>
      </c>
      <c r="B4" s="12">
        <v>167</v>
      </c>
      <c r="C4" s="12">
        <v>125</v>
      </c>
      <c r="D4" s="12">
        <v>5</v>
      </c>
    </row>
    <row r="5" spans="1:4">
      <c r="A5" s="10" t="s">
        <v>66</v>
      </c>
      <c r="B5" s="12">
        <v>296</v>
      </c>
      <c r="C5" s="12">
        <v>125</v>
      </c>
      <c r="D5" s="12">
        <v>5</v>
      </c>
    </row>
    <row r="6" spans="1:4">
      <c r="A6" s="10" t="s">
        <v>38</v>
      </c>
      <c r="B6" s="12">
        <v>303</v>
      </c>
      <c r="C6" s="12">
        <v>125</v>
      </c>
      <c r="D6" s="12">
        <v>5</v>
      </c>
    </row>
    <row r="7" spans="1:4">
      <c r="A7" s="10" t="s">
        <v>48</v>
      </c>
      <c r="B7" s="12">
        <v>282</v>
      </c>
      <c r="C7" s="12">
        <v>125</v>
      </c>
      <c r="D7" s="12">
        <v>5</v>
      </c>
    </row>
    <row r="8" spans="1:4">
      <c r="A8" s="10" t="s">
        <v>75</v>
      </c>
      <c r="B8" s="12">
        <v>272</v>
      </c>
      <c r="C8" s="12">
        <v>125</v>
      </c>
      <c r="D8" s="12">
        <v>5</v>
      </c>
    </row>
    <row r="9" spans="1:4">
      <c r="A9" s="10" t="s">
        <v>58</v>
      </c>
      <c r="B9" s="12">
        <v>205</v>
      </c>
      <c r="C9" s="12">
        <v>125</v>
      </c>
      <c r="D9" s="12">
        <v>5</v>
      </c>
    </row>
    <row r="10" spans="1:4">
      <c r="A10" s="10" t="s">
        <v>1100</v>
      </c>
      <c r="B10" s="12">
        <v>1525</v>
      </c>
      <c r="C10" s="12">
        <v>750</v>
      </c>
      <c r="D10" s="12">
        <v>30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A998F-608E-5740-AB2A-EFE979526D0A}">
  <dimension ref="A3:E12"/>
  <sheetViews>
    <sheetView workbookViewId="0">
      <selection activeCell="A3" sqref="A3"/>
    </sheetView>
  </sheetViews>
  <sheetFormatPr baseColWidth="10" defaultRowHeight="14"/>
  <cols>
    <col min="1" max="1" width="16" bestFit="1" customWidth="1"/>
    <col min="2" max="2" width="17" bestFit="1" customWidth="1"/>
    <col min="3" max="3" width="5" bestFit="1" customWidth="1"/>
    <col min="4" max="4" width="8.1640625" bestFit="1" customWidth="1"/>
    <col min="5" max="5" width="11.6640625" bestFit="1" customWidth="1"/>
  </cols>
  <sheetData>
    <row r="3" spans="1:5">
      <c r="A3" s="9" t="s">
        <v>1102</v>
      </c>
      <c r="B3" s="9" t="s">
        <v>1101</v>
      </c>
    </row>
    <row r="4" spans="1:5">
      <c r="A4" s="9" t="s">
        <v>1099</v>
      </c>
      <c r="B4" t="s">
        <v>69</v>
      </c>
      <c r="C4" t="s">
        <v>30</v>
      </c>
      <c r="D4" t="s">
        <v>29</v>
      </c>
      <c r="E4" t="s">
        <v>1100</v>
      </c>
    </row>
    <row r="5" spans="1:5">
      <c r="A5" s="10" t="s">
        <v>64</v>
      </c>
      <c r="B5" s="12">
        <v>19</v>
      </c>
      <c r="C5" s="12">
        <v>45</v>
      </c>
      <c r="D5" s="12">
        <v>36</v>
      </c>
      <c r="E5" s="12">
        <v>100</v>
      </c>
    </row>
    <row r="6" spans="1:5">
      <c r="A6" s="10" t="s">
        <v>46</v>
      </c>
      <c r="B6" s="12">
        <v>18</v>
      </c>
      <c r="C6" s="12">
        <v>52</v>
      </c>
      <c r="D6" s="12">
        <v>30</v>
      </c>
      <c r="E6" s="12">
        <v>100</v>
      </c>
    </row>
    <row r="7" spans="1:5">
      <c r="A7" s="10" t="s">
        <v>56</v>
      </c>
      <c r="B7" s="12">
        <v>16</v>
      </c>
      <c r="C7" s="12">
        <v>53</v>
      </c>
      <c r="D7" s="12">
        <v>31</v>
      </c>
      <c r="E7" s="12">
        <v>100</v>
      </c>
    </row>
    <row r="8" spans="1:5">
      <c r="A8" s="10" t="s">
        <v>73</v>
      </c>
      <c r="B8" s="12">
        <v>14</v>
      </c>
      <c r="C8" s="12">
        <v>48</v>
      </c>
      <c r="D8" s="12">
        <v>38</v>
      </c>
      <c r="E8" s="12">
        <v>100</v>
      </c>
    </row>
    <row r="9" spans="1:5">
      <c r="A9" s="10" t="s">
        <v>24</v>
      </c>
      <c r="B9" s="12">
        <v>14</v>
      </c>
      <c r="C9" s="12">
        <v>64</v>
      </c>
      <c r="D9" s="12">
        <v>47</v>
      </c>
      <c r="E9" s="12">
        <v>125</v>
      </c>
    </row>
    <row r="10" spans="1:5">
      <c r="A10" s="10" t="s">
        <v>82</v>
      </c>
      <c r="B10" s="12">
        <v>17</v>
      </c>
      <c r="C10" s="12">
        <v>48</v>
      </c>
      <c r="D10" s="12">
        <v>35</v>
      </c>
      <c r="E10" s="12">
        <v>100</v>
      </c>
    </row>
    <row r="11" spans="1:5">
      <c r="A11" s="10" t="s">
        <v>36</v>
      </c>
      <c r="B11" s="12">
        <v>24</v>
      </c>
      <c r="C11" s="12">
        <v>59</v>
      </c>
      <c r="D11" s="12">
        <v>42</v>
      </c>
      <c r="E11" s="12">
        <v>125</v>
      </c>
    </row>
    <row r="12" spans="1:5">
      <c r="A12" s="10" t="s">
        <v>1100</v>
      </c>
      <c r="B12" s="12">
        <v>122</v>
      </c>
      <c r="C12" s="12">
        <v>369</v>
      </c>
      <c r="D12" s="12">
        <v>259</v>
      </c>
      <c r="E12" s="12">
        <v>750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AB97A-9215-134C-BFDF-D8279CD87EFA}">
  <dimension ref="A3:C34"/>
  <sheetViews>
    <sheetView workbookViewId="0">
      <selection activeCell="C4" sqref="C4"/>
    </sheetView>
  </sheetViews>
  <sheetFormatPr baseColWidth="10" defaultRowHeight="14"/>
  <cols>
    <col min="1" max="1" width="37" bestFit="1" customWidth="1"/>
    <col min="2" max="2" width="18.83203125" bestFit="1" customWidth="1"/>
    <col min="3" max="3" width="20" bestFit="1" customWidth="1"/>
  </cols>
  <sheetData>
    <row r="3" spans="1:3">
      <c r="A3" s="9" t="s">
        <v>1099</v>
      </c>
      <c r="B3" t="s">
        <v>1108</v>
      </c>
      <c r="C3" t="s">
        <v>1105</v>
      </c>
    </row>
    <row r="4" spans="1:3">
      <c r="A4" s="10" t="s">
        <v>63</v>
      </c>
      <c r="B4" s="12">
        <v>40</v>
      </c>
      <c r="C4" s="12">
        <v>115</v>
      </c>
    </row>
    <row r="5" spans="1:3">
      <c r="A5" s="10" t="s">
        <v>35</v>
      </c>
      <c r="B5" s="12">
        <v>49</v>
      </c>
      <c r="C5" s="12">
        <v>93</v>
      </c>
    </row>
    <row r="6" spans="1:3">
      <c r="A6" s="10" t="s">
        <v>161</v>
      </c>
      <c r="B6" s="12">
        <v>40</v>
      </c>
      <c r="C6" s="12">
        <v>92</v>
      </c>
    </row>
    <row r="7" spans="1:3">
      <c r="A7" s="10" t="s">
        <v>45</v>
      </c>
      <c r="B7" s="12">
        <v>40</v>
      </c>
      <c r="C7" s="12">
        <v>82</v>
      </c>
    </row>
    <row r="8" spans="1:3">
      <c r="A8" s="10" t="s">
        <v>89</v>
      </c>
      <c r="B8" s="12">
        <v>38</v>
      </c>
      <c r="C8" s="12">
        <v>65</v>
      </c>
    </row>
    <row r="9" spans="1:3">
      <c r="A9" s="10" t="s">
        <v>149</v>
      </c>
      <c r="B9" s="12">
        <v>43</v>
      </c>
      <c r="C9" s="12">
        <v>64</v>
      </c>
    </row>
    <row r="10" spans="1:3">
      <c r="A10" s="10" t="s">
        <v>72</v>
      </c>
      <c r="B10" s="12">
        <v>37</v>
      </c>
      <c r="C10" s="12">
        <v>63</v>
      </c>
    </row>
    <row r="11" spans="1:3">
      <c r="A11" s="10" t="s">
        <v>94</v>
      </c>
      <c r="B11" s="12">
        <v>36</v>
      </c>
      <c r="C11" s="12">
        <v>62</v>
      </c>
    </row>
    <row r="12" spans="1:3">
      <c r="A12" s="10" t="s">
        <v>115</v>
      </c>
      <c r="B12" s="12">
        <v>28</v>
      </c>
      <c r="C12" s="12">
        <v>61</v>
      </c>
    </row>
    <row r="13" spans="1:3">
      <c r="A13" s="10" t="s">
        <v>121</v>
      </c>
      <c r="B13" s="12">
        <v>33</v>
      </c>
      <c r="C13" s="12">
        <v>61</v>
      </c>
    </row>
    <row r="14" spans="1:3">
      <c r="A14" s="10" t="s">
        <v>155</v>
      </c>
      <c r="B14" s="12">
        <v>56</v>
      </c>
      <c r="C14" s="12">
        <v>60</v>
      </c>
    </row>
    <row r="15" spans="1:3">
      <c r="A15" s="10" t="s">
        <v>158</v>
      </c>
      <c r="B15" s="12">
        <v>46</v>
      </c>
      <c r="C15" s="12">
        <v>58</v>
      </c>
    </row>
    <row r="16" spans="1:3">
      <c r="A16" s="10" t="s">
        <v>55</v>
      </c>
      <c r="B16" s="12">
        <v>56</v>
      </c>
      <c r="C16" s="12">
        <v>55</v>
      </c>
    </row>
    <row r="17" spans="1:3">
      <c r="A17" s="10" t="s">
        <v>139</v>
      </c>
      <c r="B17" s="12">
        <v>55</v>
      </c>
      <c r="C17" s="12">
        <v>51</v>
      </c>
    </row>
    <row r="18" spans="1:3">
      <c r="A18" s="10" t="s">
        <v>81</v>
      </c>
      <c r="B18" s="12">
        <v>34</v>
      </c>
      <c r="C18" s="12">
        <v>51</v>
      </c>
    </row>
    <row r="19" spans="1:3">
      <c r="A19" s="10" t="s">
        <v>142</v>
      </c>
      <c r="B19" s="12">
        <v>47</v>
      </c>
      <c r="C19" s="12">
        <v>48</v>
      </c>
    </row>
    <row r="20" spans="1:3">
      <c r="A20" s="10" t="s">
        <v>105</v>
      </c>
      <c r="B20" s="12">
        <v>49</v>
      </c>
      <c r="C20" s="12">
        <v>46</v>
      </c>
    </row>
    <row r="21" spans="1:3">
      <c r="A21" s="10" t="s">
        <v>112</v>
      </c>
      <c r="B21" s="12">
        <v>42</v>
      </c>
      <c r="C21" s="12">
        <v>46</v>
      </c>
    </row>
    <row r="22" spans="1:3">
      <c r="A22" s="10" t="s">
        <v>99</v>
      </c>
      <c r="B22" s="12">
        <v>41</v>
      </c>
      <c r="C22" s="12">
        <v>46</v>
      </c>
    </row>
    <row r="23" spans="1:3">
      <c r="A23" s="10" t="s">
        <v>152</v>
      </c>
      <c r="B23" s="12">
        <v>47</v>
      </c>
      <c r="C23" s="12">
        <v>45</v>
      </c>
    </row>
    <row r="24" spans="1:3">
      <c r="A24" s="10" t="s">
        <v>146</v>
      </c>
      <c r="B24" s="12">
        <v>40</v>
      </c>
      <c r="C24" s="12">
        <v>40</v>
      </c>
    </row>
    <row r="25" spans="1:3">
      <c r="A25" s="10" t="s">
        <v>130</v>
      </c>
      <c r="B25" s="12">
        <v>56</v>
      </c>
      <c r="C25" s="12">
        <v>35</v>
      </c>
    </row>
    <row r="26" spans="1:3">
      <c r="A26" s="10" t="s">
        <v>133</v>
      </c>
      <c r="B26" s="12">
        <v>48</v>
      </c>
      <c r="C26" s="12">
        <v>32</v>
      </c>
    </row>
    <row r="27" spans="1:3">
      <c r="A27" s="10" t="s">
        <v>23</v>
      </c>
      <c r="B27" s="12">
        <v>39</v>
      </c>
      <c r="C27" s="12">
        <v>31</v>
      </c>
    </row>
    <row r="28" spans="1:3">
      <c r="A28" s="10" t="s">
        <v>127</v>
      </c>
      <c r="B28" s="12">
        <v>52</v>
      </c>
      <c r="C28" s="12">
        <v>30</v>
      </c>
    </row>
    <row r="29" spans="1:3">
      <c r="A29" s="10" t="s">
        <v>136</v>
      </c>
      <c r="B29" s="12">
        <v>51</v>
      </c>
      <c r="C29" s="12">
        <v>24</v>
      </c>
    </row>
    <row r="30" spans="1:3">
      <c r="A30" s="10" t="s">
        <v>124</v>
      </c>
      <c r="B30" s="12">
        <v>40</v>
      </c>
      <c r="C30" s="12">
        <v>23</v>
      </c>
    </row>
    <row r="31" spans="1:3">
      <c r="A31" s="10" t="s">
        <v>118</v>
      </c>
      <c r="B31" s="12">
        <v>46</v>
      </c>
      <c r="C31" s="12">
        <v>20</v>
      </c>
    </row>
    <row r="32" spans="1:3">
      <c r="A32" s="10" t="s">
        <v>108</v>
      </c>
      <c r="B32" s="12">
        <v>47</v>
      </c>
      <c r="C32" s="12">
        <v>15</v>
      </c>
    </row>
    <row r="33" spans="1:3">
      <c r="A33" s="10" t="s">
        <v>102</v>
      </c>
      <c r="B33" s="12">
        <v>47</v>
      </c>
      <c r="C33" s="12">
        <v>11</v>
      </c>
    </row>
    <row r="34" spans="1:3">
      <c r="A34" s="10" t="s">
        <v>1100</v>
      </c>
      <c r="B34" s="12">
        <v>1323</v>
      </c>
      <c r="C34" s="12">
        <v>1525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2DA84-5C05-D343-A26C-79B98675D9BF}">
  <dimension ref="A3:C34"/>
  <sheetViews>
    <sheetView workbookViewId="0">
      <selection activeCell="C50" sqref="C50"/>
    </sheetView>
  </sheetViews>
  <sheetFormatPr baseColWidth="10" defaultRowHeight="14"/>
  <cols>
    <col min="1" max="1" width="37" bestFit="1" customWidth="1"/>
    <col min="2" max="2" width="20" bestFit="1" customWidth="1"/>
    <col min="3" max="3" width="22.83203125" bestFit="1" customWidth="1"/>
  </cols>
  <sheetData>
    <row r="3" spans="1:3">
      <c r="A3" s="9" t="s">
        <v>1099</v>
      </c>
      <c r="B3" t="s">
        <v>1105</v>
      </c>
      <c r="C3" t="s">
        <v>1110</v>
      </c>
    </row>
    <row r="4" spans="1:3">
      <c r="A4" s="10" t="s">
        <v>63</v>
      </c>
      <c r="B4" s="12">
        <v>115</v>
      </c>
      <c r="C4" s="13">
        <v>74912.39</v>
      </c>
    </row>
    <row r="5" spans="1:3">
      <c r="A5" s="10" t="s">
        <v>105</v>
      </c>
      <c r="B5" s="12">
        <v>46</v>
      </c>
      <c r="C5" s="13">
        <v>55432.14</v>
      </c>
    </row>
    <row r="6" spans="1:3">
      <c r="A6" s="10" t="s">
        <v>127</v>
      </c>
      <c r="B6" s="12">
        <v>30</v>
      </c>
      <c r="C6" s="13">
        <v>72678.200000000012</v>
      </c>
    </row>
    <row r="7" spans="1:3">
      <c r="A7" s="10" t="s">
        <v>149</v>
      </c>
      <c r="B7" s="12">
        <v>64</v>
      </c>
      <c r="C7" s="13">
        <v>31782.120000000003</v>
      </c>
    </row>
    <row r="8" spans="1:3">
      <c r="A8" s="10" t="s">
        <v>45</v>
      </c>
      <c r="B8" s="12">
        <v>82</v>
      </c>
      <c r="C8" s="13">
        <v>75744.070000000007</v>
      </c>
    </row>
    <row r="9" spans="1:3">
      <c r="A9" s="10" t="s">
        <v>99</v>
      </c>
      <c r="B9" s="12">
        <v>46</v>
      </c>
      <c r="C9" s="13">
        <v>26623.599999999999</v>
      </c>
    </row>
    <row r="10" spans="1:3">
      <c r="A10" s="10" t="s">
        <v>121</v>
      </c>
      <c r="B10" s="12">
        <v>61</v>
      </c>
      <c r="C10" s="13">
        <v>97677.459999999977</v>
      </c>
    </row>
    <row r="11" spans="1:3">
      <c r="A11" s="10" t="s">
        <v>142</v>
      </c>
      <c r="B11" s="12">
        <v>48</v>
      </c>
      <c r="C11" s="13">
        <v>101529.82999999999</v>
      </c>
    </row>
    <row r="12" spans="1:3">
      <c r="A12" s="10" t="s">
        <v>55</v>
      </c>
      <c r="B12" s="12">
        <v>55</v>
      </c>
      <c r="C12" s="13">
        <v>225384.27</v>
      </c>
    </row>
    <row r="13" spans="1:3">
      <c r="A13" s="10" t="s">
        <v>102</v>
      </c>
      <c r="B13" s="12">
        <v>11</v>
      </c>
      <c r="C13" s="13">
        <v>88118.17</v>
      </c>
    </row>
    <row r="14" spans="1:3">
      <c r="A14" s="10" t="s">
        <v>124</v>
      </c>
      <c r="B14" s="12">
        <v>23</v>
      </c>
      <c r="C14" s="13">
        <v>75505.590000000011</v>
      </c>
    </row>
    <row r="15" spans="1:3">
      <c r="A15" s="10" t="s">
        <v>146</v>
      </c>
      <c r="B15" s="12">
        <v>40</v>
      </c>
      <c r="C15" s="13">
        <v>63954.839999999982</v>
      </c>
    </row>
    <row r="16" spans="1:3">
      <c r="A16" s="10" t="s">
        <v>72</v>
      </c>
      <c r="B16" s="12">
        <v>63</v>
      </c>
      <c r="C16" s="13">
        <v>35644.879999999997</v>
      </c>
    </row>
    <row r="17" spans="1:3">
      <c r="A17" s="10" t="s">
        <v>108</v>
      </c>
      <c r="B17" s="12">
        <v>15</v>
      </c>
      <c r="C17" s="13">
        <v>184483.97</v>
      </c>
    </row>
    <row r="18" spans="1:3">
      <c r="A18" s="10" t="s">
        <v>130</v>
      </c>
      <c r="B18" s="12">
        <v>35</v>
      </c>
      <c r="C18" s="13">
        <v>144391.68000000002</v>
      </c>
    </row>
    <row r="19" spans="1:3">
      <c r="A19" s="10" t="s">
        <v>152</v>
      </c>
      <c r="B19" s="12">
        <v>45</v>
      </c>
      <c r="C19" s="13">
        <v>64888.279999999984</v>
      </c>
    </row>
    <row r="20" spans="1:3">
      <c r="A20" s="10" t="s">
        <v>23</v>
      </c>
      <c r="B20" s="12">
        <v>31</v>
      </c>
      <c r="C20" s="13">
        <v>106289.31000000003</v>
      </c>
    </row>
    <row r="21" spans="1:3">
      <c r="A21" s="10" t="s">
        <v>89</v>
      </c>
      <c r="B21" s="12">
        <v>65</v>
      </c>
      <c r="C21" s="13">
        <v>101489.37</v>
      </c>
    </row>
    <row r="22" spans="1:3">
      <c r="A22" s="10" t="s">
        <v>115</v>
      </c>
      <c r="B22" s="12">
        <v>61</v>
      </c>
      <c r="C22" s="13">
        <v>137685.25000000003</v>
      </c>
    </row>
    <row r="23" spans="1:3">
      <c r="A23" s="10" t="s">
        <v>136</v>
      </c>
      <c r="B23" s="12">
        <v>24</v>
      </c>
      <c r="C23" s="13">
        <v>153716.96000000002</v>
      </c>
    </row>
    <row r="24" spans="1:3">
      <c r="A24" s="10" t="s">
        <v>158</v>
      </c>
      <c r="B24" s="12">
        <v>58</v>
      </c>
      <c r="C24" s="13">
        <v>85334.7</v>
      </c>
    </row>
    <row r="25" spans="1:3">
      <c r="A25" s="10" t="s">
        <v>81</v>
      </c>
      <c r="B25" s="12">
        <v>51</v>
      </c>
      <c r="C25" s="13">
        <v>157360.22</v>
      </c>
    </row>
    <row r="26" spans="1:3">
      <c r="A26" s="10" t="s">
        <v>112</v>
      </c>
      <c r="B26" s="12">
        <v>46</v>
      </c>
      <c r="C26" s="13">
        <v>98856.989999999991</v>
      </c>
    </row>
    <row r="27" spans="1:3">
      <c r="A27" s="10" t="s">
        <v>133</v>
      </c>
      <c r="B27" s="12">
        <v>32</v>
      </c>
      <c r="C27" s="13">
        <v>86147.12</v>
      </c>
    </row>
    <row r="28" spans="1:3">
      <c r="A28" s="10" t="s">
        <v>155</v>
      </c>
      <c r="B28" s="12">
        <v>60</v>
      </c>
      <c r="C28" s="13">
        <v>33002.109999999993</v>
      </c>
    </row>
    <row r="29" spans="1:3">
      <c r="A29" s="10" t="s">
        <v>35</v>
      </c>
      <c r="B29" s="12">
        <v>93</v>
      </c>
      <c r="C29" s="13">
        <v>57239.820000000007</v>
      </c>
    </row>
    <row r="30" spans="1:3">
      <c r="A30" s="10" t="s">
        <v>94</v>
      </c>
      <c r="B30" s="12">
        <v>62</v>
      </c>
      <c r="C30" s="13">
        <v>149971.53999999998</v>
      </c>
    </row>
    <row r="31" spans="1:3">
      <c r="A31" s="10" t="s">
        <v>118</v>
      </c>
      <c r="B31" s="12">
        <v>20</v>
      </c>
      <c r="C31" s="13">
        <v>133160.03000000003</v>
      </c>
    </row>
    <row r="32" spans="1:3">
      <c r="A32" s="10" t="s">
        <v>139</v>
      </c>
      <c r="B32" s="12">
        <v>51</v>
      </c>
      <c r="C32" s="13">
        <v>39878.32</v>
      </c>
    </row>
    <row r="33" spans="1:3">
      <c r="A33" s="10" t="s">
        <v>161</v>
      </c>
      <c r="B33" s="12">
        <v>92</v>
      </c>
      <c r="C33" s="13">
        <v>58738.150000000009</v>
      </c>
    </row>
    <row r="34" spans="1:3">
      <c r="A34" s="10" t="s">
        <v>1100</v>
      </c>
      <c r="B34" s="12">
        <v>1525</v>
      </c>
      <c r="C34" s="13">
        <v>2817621.38</v>
      </c>
    </row>
  </sheetData>
  <sortState xmlns:xlrd2="http://schemas.microsoft.com/office/spreadsheetml/2017/richdata2" columnSort="1" ref="A3:C34">
    <sortCondition descending="1" ref="B3"/>
  </sortState>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11B8F-98D3-5746-AFE7-621283025089}">
  <dimension ref="A3:B41"/>
  <sheetViews>
    <sheetView workbookViewId="0">
      <selection activeCell="D49" sqref="D49"/>
    </sheetView>
  </sheetViews>
  <sheetFormatPr baseColWidth="10" defaultRowHeight="14"/>
  <cols>
    <col min="1" max="1" width="41.1640625" bestFit="1" customWidth="1"/>
    <col min="2" max="2" width="22.83203125" bestFit="1" customWidth="1"/>
  </cols>
  <sheetData>
    <row r="3" spans="1:2">
      <c r="A3" s="9" t="s">
        <v>1099</v>
      </c>
      <c r="B3" t="s">
        <v>1110</v>
      </c>
    </row>
    <row r="4" spans="1:2">
      <c r="A4" s="10" t="s">
        <v>64</v>
      </c>
      <c r="B4" s="13">
        <v>234804.85</v>
      </c>
    </row>
    <row r="5" spans="1:2">
      <c r="A5" s="11" t="s">
        <v>63</v>
      </c>
      <c r="B5" s="13">
        <v>74912.39</v>
      </c>
    </row>
    <row r="6" spans="1:2">
      <c r="A6" s="11" t="s">
        <v>105</v>
      </c>
      <c r="B6" s="13">
        <v>55432.14</v>
      </c>
    </row>
    <row r="7" spans="1:2">
      <c r="A7" s="11" t="s">
        <v>127</v>
      </c>
      <c r="B7" s="13">
        <v>72678.200000000012</v>
      </c>
    </row>
    <row r="8" spans="1:2">
      <c r="A8" s="11" t="s">
        <v>149</v>
      </c>
      <c r="B8" s="13">
        <v>31782.120000000003</v>
      </c>
    </row>
    <row r="9" spans="1:2">
      <c r="A9" s="10" t="s">
        <v>46</v>
      </c>
      <c r="B9" s="13">
        <v>301574.95999999996</v>
      </c>
    </row>
    <row r="10" spans="1:2">
      <c r="A10" s="11" t="s">
        <v>45</v>
      </c>
      <c r="B10" s="13">
        <v>75744.070000000007</v>
      </c>
    </row>
    <row r="11" spans="1:2">
      <c r="A11" s="11" t="s">
        <v>99</v>
      </c>
      <c r="B11" s="13">
        <v>26623.599999999999</v>
      </c>
    </row>
    <row r="12" spans="1:2">
      <c r="A12" s="11" t="s">
        <v>121</v>
      </c>
      <c r="B12" s="13">
        <v>97677.459999999977</v>
      </c>
    </row>
    <row r="13" spans="1:2">
      <c r="A13" s="11" t="s">
        <v>142</v>
      </c>
      <c r="B13" s="13">
        <v>101529.82999999999</v>
      </c>
    </row>
    <row r="14" spans="1:2">
      <c r="A14" s="10" t="s">
        <v>56</v>
      </c>
      <c r="B14" s="13">
        <v>452962.87</v>
      </c>
    </row>
    <row r="15" spans="1:2">
      <c r="A15" s="11" t="s">
        <v>55</v>
      </c>
      <c r="B15" s="13">
        <v>225384.27</v>
      </c>
    </row>
    <row r="16" spans="1:2">
      <c r="A16" s="11" t="s">
        <v>102</v>
      </c>
      <c r="B16" s="13">
        <v>88118.17</v>
      </c>
    </row>
    <row r="17" spans="1:2">
      <c r="A17" s="11" t="s">
        <v>124</v>
      </c>
      <c r="B17" s="13">
        <v>75505.590000000011</v>
      </c>
    </row>
    <row r="18" spans="1:2">
      <c r="A18" s="11" t="s">
        <v>146</v>
      </c>
      <c r="B18" s="13">
        <v>63954.839999999982</v>
      </c>
    </row>
    <row r="19" spans="1:2">
      <c r="A19" s="10" t="s">
        <v>73</v>
      </c>
      <c r="B19" s="13">
        <v>429408.81</v>
      </c>
    </row>
    <row r="20" spans="1:2">
      <c r="A20" s="11" t="s">
        <v>72</v>
      </c>
      <c r="B20" s="13">
        <v>35644.879999999997</v>
      </c>
    </row>
    <row r="21" spans="1:2">
      <c r="A21" s="11" t="s">
        <v>108</v>
      </c>
      <c r="B21" s="13">
        <v>184483.97</v>
      </c>
    </row>
    <row r="22" spans="1:2">
      <c r="A22" s="11" t="s">
        <v>130</v>
      </c>
      <c r="B22" s="13">
        <v>144391.68000000002</v>
      </c>
    </row>
    <row r="23" spans="1:2">
      <c r="A23" s="11" t="s">
        <v>152</v>
      </c>
      <c r="B23" s="13">
        <v>64888.279999999984</v>
      </c>
    </row>
    <row r="24" spans="1:2">
      <c r="A24" s="10" t="s">
        <v>24</v>
      </c>
      <c r="B24" s="13">
        <v>584515.59000000008</v>
      </c>
    </row>
    <row r="25" spans="1:2">
      <c r="A25" s="11" t="s">
        <v>23</v>
      </c>
      <c r="B25" s="13">
        <v>106289.31000000003</v>
      </c>
    </row>
    <row r="26" spans="1:2">
      <c r="A26" s="11" t="s">
        <v>89</v>
      </c>
      <c r="B26" s="13">
        <v>101489.37</v>
      </c>
    </row>
    <row r="27" spans="1:2">
      <c r="A27" s="11" t="s">
        <v>115</v>
      </c>
      <c r="B27" s="13">
        <v>137685.25000000003</v>
      </c>
    </row>
    <row r="28" spans="1:2">
      <c r="A28" s="11" t="s">
        <v>136</v>
      </c>
      <c r="B28" s="13">
        <v>153716.96000000002</v>
      </c>
    </row>
    <row r="29" spans="1:2">
      <c r="A29" s="11" t="s">
        <v>158</v>
      </c>
      <c r="B29" s="13">
        <v>85334.7</v>
      </c>
    </row>
    <row r="30" spans="1:2">
      <c r="A30" s="10" t="s">
        <v>82</v>
      </c>
      <c r="B30" s="13">
        <v>375366.43999999994</v>
      </c>
    </row>
    <row r="31" spans="1:2">
      <c r="A31" s="11" t="s">
        <v>81</v>
      </c>
      <c r="B31" s="13">
        <v>157360.22</v>
      </c>
    </row>
    <row r="32" spans="1:2">
      <c r="A32" s="11" t="s">
        <v>112</v>
      </c>
      <c r="B32" s="13">
        <v>98856.989999999991</v>
      </c>
    </row>
    <row r="33" spans="1:2">
      <c r="A33" s="11" t="s">
        <v>133</v>
      </c>
      <c r="B33" s="13">
        <v>86147.12</v>
      </c>
    </row>
    <row r="34" spans="1:2">
      <c r="A34" s="11" t="s">
        <v>155</v>
      </c>
      <c r="B34" s="13">
        <v>33002.109999999993</v>
      </c>
    </row>
    <row r="35" spans="1:2">
      <c r="A35" s="10" t="s">
        <v>36</v>
      </c>
      <c r="B35" s="13">
        <v>438987.86000000004</v>
      </c>
    </row>
    <row r="36" spans="1:2">
      <c r="A36" s="11" t="s">
        <v>35</v>
      </c>
      <c r="B36" s="13">
        <v>57239.820000000007</v>
      </c>
    </row>
    <row r="37" spans="1:2">
      <c r="A37" s="11" t="s">
        <v>94</v>
      </c>
      <c r="B37" s="13">
        <v>149971.53999999998</v>
      </c>
    </row>
    <row r="38" spans="1:2">
      <c r="A38" s="11" t="s">
        <v>118</v>
      </c>
      <c r="B38" s="13">
        <v>133160.03000000003</v>
      </c>
    </row>
    <row r="39" spans="1:2">
      <c r="A39" s="11" t="s">
        <v>139</v>
      </c>
      <c r="B39" s="13">
        <v>39878.32</v>
      </c>
    </row>
    <row r="40" spans="1:2">
      <c r="A40" s="11" t="s">
        <v>161</v>
      </c>
      <c r="B40" s="13">
        <v>58738.150000000009</v>
      </c>
    </row>
    <row r="41" spans="1:2">
      <c r="A41" s="10" t="s">
        <v>1100</v>
      </c>
      <c r="B41" s="13">
        <v>2817621.38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BCEBC-A76D-1648-AADF-8C6A52BBF305}">
  <dimension ref="A3:C11"/>
  <sheetViews>
    <sheetView workbookViewId="0">
      <selection activeCell="H48" sqref="H48"/>
    </sheetView>
  </sheetViews>
  <sheetFormatPr baseColWidth="10" defaultRowHeight="14"/>
  <cols>
    <col min="1" max="1" width="15" bestFit="1" customWidth="1"/>
    <col min="2" max="2" width="20" bestFit="1" customWidth="1"/>
    <col min="3" max="3" width="22.83203125" bestFit="1" customWidth="1"/>
  </cols>
  <sheetData>
    <row r="3" spans="1:3">
      <c r="A3" s="9" t="s">
        <v>1099</v>
      </c>
      <c r="B3" t="s">
        <v>1105</v>
      </c>
      <c r="C3" t="s">
        <v>1110</v>
      </c>
    </row>
    <row r="4" spans="1:3">
      <c r="A4" s="10" t="s">
        <v>64</v>
      </c>
      <c r="B4" s="12">
        <v>255</v>
      </c>
      <c r="C4" s="13">
        <v>234804.84999999998</v>
      </c>
    </row>
    <row r="5" spans="1:3">
      <c r="A5" s="10" t="s">
        <v>46</v>
      </c>
      <c r="B5" s="12">
        <v>237</v>
      </c>
      <c r="C5" s="13">
        <v>301574.96000000014</v>
      </c>
    </row>
    <row r="6" spans="1:3">
      <c r="A6" s="10" t="s">
        <v>56</v>
      </c>
      <c r="B6" s="12">
        <v>129</v>
      </c>
      <c r="C6" s="13">
        <v>452962.87</v>
      </c>
    </row>
    <row r="7" spans="1:3">
      <c r="A7" s="10" t="s">
        <v>73</v>
      </c>
      <c r="B7" s="12">
        <v>158</v>
      </c>
      <c r="C7" s="13">
        <v>429408.80999999994</v>
      </c>
    </row>
    <row r="8" spans="1:3">
      <c r="A8" s="10" t="s">
        <v>24</v>
      </c>
      <c r="B8" s="12">
        <v>239</v>
      </c>
      <c r="C8" s="13">
        <v>584515.59000000008</v>
      </c>
    </row>
    <row r="9" spans="1:3">
      <c r="A9" s="10" t="s">
        <v>82</v>
      </c>
      <c r="B9" s="12">
        <v>189</v>
      </c>
      <c r="C9" s="13">
        <v>375366.43999999994</v>
      </c>
    </row>
    <row r="10" spans="1:3">
      <c r="A10" s="10" t="s">
        <v>36</v>
      </c>
      <c r="B10" s="12">
        <v>318</v>
      </c>
      <c r="C10" s="13">
        <v>438987.85999999987</v>
      </c>
    </row>
    <row r="11" spans="1:3">
      <c r="A11" s="10" t="s">
        <v>1100</v>
      </c>
      <c r="B11" s="12">
        <v>1525</v>
      </c>
      <c r="C11" s="13">
        <v>2817621.38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1D9D6-76EA-CB49-83DD-AF140595763A}">
  <dimension ref="A3:G11"/>
  <sheetViews>
    <sheetView zoomScale="75" workbookViewId="0">
      <selection activeCell="H57" sqref="H57"/>
    </sheetView>
  </sheetViews>
  <sheetFormatPr baseColWidth="10" defaultRowHeight="14"/>
  <cols>
    <col min="1" max="1" width="16" bestFit="1" customWidth="1"/>
    <col min="2" max="2" width="17" bestFit="1" customWidth="1"/>
    <col min="3" max="3" width="11.33203125" bestFit="1" customWidth="1"/>
    <col min="4" max="4" width="11.1640625" bestFit="1" customWidth="1"/>
    <col min="5" max="5" width="8.5" bestFit="1" customWidth="1"/>
    <col min="6" max="6" width="15.5" bestFit="1" customWidth="1"/>
    <col min="7" max="7" width="11.6640625" bestFit="1" customWidth="1"/>
  </cols>
  <sheetData>
    <row r="3" spans="1:7">
      <c r="A3" s="9" t="s">
        <v>1102</v>
      </c>
      <c r="B3" s="9" t="s">
        <v>1101</v>
      </c>
    </row>
    <row r="4" spans="1:7">
      <c r="A4" s="9" t="s">
        <v>1099</v>
      </c>
      <c r="B4" t="s">
        <v>32</v>
      </c>
      <c r="C4" t="s">
        <v>52</v>
      </c>
      <c r="D4" t="s">
        <v>42</v>
      </c>
      <c r="E4" t="s">
        <v>109</v>
      </c>
      <c r="F4" t="s">
        <v>1103</v>
      </c>
      <c r="G4" t="s">
        <v>1100</v>
      </c>
    </row>
    <row r="5" spans="1:7">
      <c r="A5" s="10" t="s">
        <v>26</v>
      </c>
      <c r="B5" s="12">
        <v>82</v>
      </c>
      <c r="C5" s="12">
        <v>23</v>
      </c>
      <c r="D5" s="12">
        <v>14</v>
      </c>
      <c r="E5" s="12">
        <v>6</v>
      </c>
      <c r="F5" s="12">
        <v>29</v>
      </c>
      <c r="G5" s="12">
        <v>154</v>
      </c>
    </row>
    <row r="6" spans="1:7">
      <c r="A6" s="10" t="s">
        <v>66</v>
      </c>
      <c r="B6" s="12">
        <v>69</v>
      </c>
      <c r="C6" s="12">
        <v>33</v>
      </c>
      <c r="D6" s="12">
        <v>19</v>
      </c>
      <c r="E6" s="12">
        <v>4</v>
      </c>
      <c r="F6" s="12">
        <v>37</v>
      </c>
      <c r="G6" s="12">
        <v>162</v>
      </c>
    </row>
    <row r="7" spans="1:7">
      <c r="A7" s="10" t="s">
        <v>38</v>
      </c>
      <c r="B7" s="12">
        <v>89</v>
      </c>
      <c r="C7" s="12">
        <v>19</v>
      </c>
      <c r="D7" s="12">
        <v>12</v>
      </c>
      <c r="E7" s="12">
        <v>5</v>
      </c>
      <c r="F7" s="12">
        <v>24</v>
      </c>
      <c r="G7" s="12">
        <v>149</v>
      </c>
    </row>
    <row r="8" spans="1:7">
      <c r="A8" s="10" t="s">
        <v>48</v>
      </c>
      <c r="B8" s="12">
        <v>68</v>
      </c>
      <c r="C8" s="12">
        <v>35</v>
      </c>
      <c r="D8" s="12">
        <v>21</v>
      </c>
      <c r="E8" s="12">
        <v>1</v>
      </c>
      <c r="F8" s="12">
        <v>36</v>
      </c>
      <c r="G8" s="12">
        <v>161</v>
      </c>
    </row>
    <row r="9" spans="1:7">
      <c r="A9" s="10" t="s">
        <v>75</v>
      </c>
      <c r="B9" s="12">
        <v>81</v>
      </c>
      <c r="C9" s="12">
        <v>24</v>
      </c>
      <c r="D9" s="12">
        <v>15</v>
      </c>
      <c r="E9" s="12">
        <v>5</v>
      </c>
      <c r="F9" s="12">
        <v>29</v>
      </c>
      <c r="G9" s="12">
        <v>154</v>
      </c>
    </row>
    <row r="10" spans="1:7">
      <c r="A10" s="10" t="s">
        <v>58</v>
      </c>
      <c r="B10" s="12">
        <v>67</v>
      </c>
      <c r="C10" s="12">
        <v>32</v>
      </c>
      <c r="D10" s="12">
        <v>19</v>
      </c>
      <c r="E10" s="12">
        <v>7</v>
      </c>
      <c r="F10" s="12">
        <v>39</v>
      </c>
      <c r="G10" s="12">
        <v>164</v>
      </c>
    </row>
    <row r="11" spans="1:7">
      <c r="A11" s="10" t="s">
        <v>1100</v>
      </c>
      <c r="B11" s="12">
        <v>456</v>
      </c>
      <c r="C11" s="12">
        <v>166</v>
      </c>
      <c r="D11" s="12">
        <v>100</v>
      </c>
      <c r="E11" s="12">
        <v>28</v>
      </c>
      <c r="F11" s="12">
        <v>194</v>
      </c>
      <c r="G11" s="12">
        <v>944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Start Here</vt:lpstr>
      <vt:lpstr>Executive Dashboard</vt:lpstr>
      <vt:lpstr>Project Health</vt:lpstr>
      <vt:lpstr>Raw Project Data</vt:lpstr>
      <vt:lpstr>PM Task Workload</vt:lpstr>
      <vt:lpstr>Project Delays</vt:lpstr>
      <vt:lpstr>PM Portfolio Summary</vt:lpstr>
      <vt:lpstr>Department Risk Analysis</vt:lpstr>
      <vt:lpstr>Project Issues &amp; Delays</vt:lpstr>
      <vt:lpstr>Schedule &amp; Budget Performance</vt:lpstr>
      <vt:lpstr>Department Budget Analysis</vt:lpstr>
      <vt:lpstr>Department Performance Summary</vt:lpstr>
      <vt:lpstr>PM Workload Backup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Howell-Conde, Kelsey</cp:lastModifiedBy>
  <dcterms:created xsi:type="dcterms:W3CDTF">2026-08-12T16:22:58Z</dcterms:created>
  <dcterms:modified xsi:type="dcterms:W3CDTF">2026-08-12T16:22:58Z</dcterms:modified>
</cp:coreProperties>
</file>